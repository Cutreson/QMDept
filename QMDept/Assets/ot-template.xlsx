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RA\Phòng quản lý chất lượng và bảo dưỡng\Đăng ký làm thêm tại công ty\2026\Tháng 9\"/>
    </mc:Choice>
  </mc:AlternateContent>
  <xr:revisionPtr revIDLastSave="0" documentId="13_ncr:1_{7E1BD63F-0E24-4563-AF45-89ECADB5F8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ảng OT nhập liệu" sheetId="1" r:id="rId1"/>
    <sheet name="Danh sách CBCNV" sheetId="2" r:id="rId2"/>
  </sheets>
  <definedNames>
    <definedName name="_xlnm._FilterDatabase" localSheetId="0" hidden="1">'Bảng OT nhập liệu'!$A$4:$X$142</definedName>
    <definedName name="_xlnm.Print_Area" localSheetId="0">'Bảng OT nhập liệu'!$A$1:$N$156</definedName>
    <definedName name="_xlnm.Print_Titles" localSheetId="0">'Bảng OT nhập liệu'!$3:$4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I15" i="1" s="1"/>
  <c r="E14" i="1"/>
  <c r="J14" i="1" s="1"/>
  <c r="E13" i="1"/>
  <c r="L13" i="1" s="1"/>
  <c r="E12" i="1"/>
  <c r="J12" i="1" s="1"/>
  <c r="E11" i="1"/>
  <c r="B11" i="1"/>
  <c r="B12" i="1"/>
  <c r="B13" i="1"/>
  <c r="B14" i="1"/>
  <c r="B15" i="1"/>
  <c r="B8" i="1"/>
  <c r="E7" i="1"/>
  <c r="J7" i="1" s="1"/>
  <c r="E8" i="1"/>
  <c r="L8" i="1" s="1"/>
  <c r="E9" i="1"/>
  <c r="E10" i="1"/>
  <c r="I10" i="1" s="1"/>
  <c r="B7" i="1"/>
  <c r="B9" i="1"/>
  <c r="B10" i="1"/>
  <c r="B5" i="1"/>
  <c r="K15" i="1" l="1"/>
  <c r="J15" i="1"/>
  <c r="L15" i="1"/>
  <c r="I14" i="1"/>
  <c r="K14" i="1"/>
  <c r="L14" i="1"/>
  <c r="J13" i="1"/>
  <c r="I13" i="1"/>
  <c r="L12" i="1"/>
  <c r="I12" i="1"/>
  <c r="I11" i="1"/>
  <c r="L11" i="1"/>
  <c r="K11" i="1"/>
  <c r="J9" i="1"/>
  <c r="K9" i="1"/>
  <c r="L9" i="1"/>
  <c r="I9" i="1"/>
  <c r="K12" i="1"/>
  <c r="K13" i="1"/>
  <c r="J11" i="1"/>
  <c r="K10" i="1"/>
  <c r="J10" i="1"/>
  <c r="L10" i="1"/>
  <c r="K8" i="1"/>
  <c r="J8" i="1"/>
  <c r="I8" i="1"/>
  <c r="I7" i="1"/>
  <c r="L7" i="1"/>
  <c r="K7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B136" i="1"/>
  <c r="B137" i="1"/>
  <c r="B138" i="1"/>
  <c r="B126" i="1"/>
  <c r="B127" i="1"/>
  <c r="B128" i="1"/>
  <c r="B129" i="1"/>
  <c r="B130" i="1"/>
  <c r="B131" i="1"/>
  <c r="M15" i="1" l="1"/>
  <c r="M13" i="1"/>
  <c r="M14" i="1"/>
  <c r="M12" i="1"/>
  <c r="M8" i="1"/>
  <c r="K139" i="1"/>
  <c r="J139" i="1"/>
  <c r="L139" i="1"/>
  <c r="I139" i="1"/>
  <c r="K135" i="1"/>
  <c r="I135" i="1"/>
  <c r="L135" i="1"/>
  <c r="J135" i="1"/>
  <c r="K131" i="1"/>
  <c r="J131" i="1"/>
  <c r="I131" i="1"/>
  <c r="L131" i="1"/>
  <c r="K127" i="1"/>
  <c r="L127" i="1"/>
  <c r="I127" i="1"/>
  <c r="J127" i="1"/>
  <c r="K138" i="1"/>
  <c r="L138" i="1"/>
  <c r="J138" i="1"/>
  <c r="I138" i="1"/>
  <c r="K134" i="1"/>
  <c r="L134" i="1"/>
  <c r="I134" i="1"/>
  <c r="J134" i="1"/>
  <c r="K130" i="1"/>
  <c r="L130" i="1"/>
  <c r="J130" i="1"/>
  <c r="I130" i="1"/>
  <c r="K126" i="1"/>
  <c r="L126" i="1"/>
  <c r="I126" i="1"/>
  <c r="J126" i="1"/>
  <c r="K137" i="1"/>
  <c r="J137" i="1"/>
  <c r="L137" i="1"/>
  <c r="I137" i="1"/>
  <c r="K133" i="1"/>
  <c r="J133" i="1"/>
  <c r="I133" i="1"/>
  <c r="L133" i="1"/>
  <c r="K129" i="1"/>
  <c r="J129" i="1"/>
  <c r="L129" i="1"/>
  <c r="I129" i="1"/>
  <c r="M9" i="1"/>
  <c r="K136" i="1"/>
  <c r="I136" i="1"/>
  <c r="L136" i="1"/>
  <c r="J136" i="1"/>
  <c r="K132" i="1"/>
  <c r="I132" i="1"/>
  <c r="J132" i="1"/>
  <c r="L132" i="1"/>
  <c r="K128" i="1"/>
  <c r="I128" i="1"/>
  <c r="L128" i="1"/>
  <c r="J128" i="1"/>
  <c r="M11" i="1"/>
  <c r="M10" i="1"/>
  <c r="M7" i="1"/>
  <c r="E6" i="1"/>
  <c r="L6" i="1" s="1"/>
  <c r="B6" i="1"/>
  <c r="E16" i="1"/>
  <c r="B16" i="1"/>
  <c r="M126" i="1" l="1"/>
  <c r="M134" i="1"/>
  <c r="M139" i="1"/>
  <c r="M135" i="1"/>
  <c r="K16" i="1"/>
  <c r="I16" i="1"/>
  <c r="J16" i="1"/>
  <c r="L16" i="1"/>
  <c r="M128" i="1"/>
  <c r="M132" i="1"/>
  <c r="M136" i="1"/>
  <c r="M130" i="1"/>
  <c r="M138" i="1"/>
  <c r="M127" i="1"/>
  <c r="M131" i="1"/>
  <c r="M129" i="1"/>
  <c r="M133" i="1"/>
  <c r="M137" i="1"/>
  <c r="I6" i="1"/>
  <c r="J6" i="1"/>
  <c r="K6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K39" i="1" l="1"/>
  <c r="I39" i="1"/>
  <c r="J39" i="1"/>
  <c r="L39" i="1"/>
  <c r="K35" i="1"/>
  <c r="I35" i="1"/>
  <c r="L35" i="1"/>
  <c r="J35" i="1"/>
  <c r="K31" i="1"/>
  <c r="I31" i="1"/>
  <c r="J31" i="1"/>
  <c r="L31" i="1"/>
  <c r="K27" i="1"/>
  <c r="I27" i="1"/>
  <c r="L27" i="1"/>
  <c r="J27" i="1"/>
  <c r="K38" i="1"/>
  <c r="L38" i="1"/>
  <c r="J38" i="1"/>
  <c r="I38" i="1"/>
  <c r="K34" i="1"/>
  <c r="L34" i="1"/>
  <c r="I34" i="1"/>
  <c r="J34" i="1"/>
  <c r="K30" i="1"/>
  <c r="L30" i="1"/>
  <c r="J30" i="1"/>
  <c r="I30" i="1"/>
  <c r="K26" i="1"/>
  <c r="L26" i="1"/>
  <c r="I26" i="1"/>
  <c r="J26" i="1"/>
  <c r="M16" i="1"/>
  <c r="K37" i="1"/>
  <c r="J37" i="1"/>
  <c r="L37" i="1"/>
  <c r="I37" i="1"/>
  <c r="K33" i="1"/>
  <c r="J33" i="1"/>
  <c r="L33" i="1"/>
  <c r="I33" i="1"/>
  <c r="K29" i="1"/>
  <c r="J29" i="1"/>
  <c r="L29" i="1"/>
  <c r="I29" i="1"/>
  <c r="K40" i="1"/>
  <c r="I40" i="1"/>
  <c r="J40" i="1"/>
  <c r="L40" i="1"/>
  <c r="K36" i="1"/>
  <c r="I36" i="1"/>
  <c r="J36" i="1"/>
  <c r="L36" i="1"/>
  <c r="K32" i="1"/>
  <c r="I32" i="1"/>
  <c r="J32" i="1"/>
  <c r="L32" i="1"/>
  <c r="K28" i="1"/>
  <c r="I28" i="1"/>
  <c r="J28" i="1"/>
  <c r="L28" i="1"/>
  <c r="M6" i="1"/>
  <c r="E77" i="1"/>
  <c r="E78" i="1"/>
  <c r="E79" i="1"/>
  <c r="E80" i="1"/>
  <c r="B77" i="1"/>
  <c r="B78" i="1"/>
  <c r="B79" i="1"/>
  <c r="B80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M26" i="1" l="1"/>
  <c r="M30" i="1"/>
  <c r="K78" i="1"/>
  <c r="L78" i="1"/>
  <c r="J78" i="1"/>
  <c r="I78" i="1"/>
  <c r="M34" i="1"/>
  <c r="M27" i="1"/>
  <c r="M35" i="1"/>
  <c r="K81" i="1"/>
  <c r="J81" i="1"/>
  <c r="L81" i="1"/>
  <c r="I81" i="1"/>
  <c r="K83" i="1"/>
  <c r="I83" i="1"/>
  <c r="L83" i="1"/>
  <c r="J83" i="1"/>
  <c r="K85" i="1"/>
  <c r="J85" i="1"/>
  <c r="L85" i="1"/>
  <c r="I85" i="1"/>
  <c r="K87" i="1"/>
  <c r="I87" i="1"/>
  <c r="J87" i="1"/>
  <c r="L87" i="1"/>
  <c r="K89" i="1"/>
  <c r="J89" i="1"/>
  <c r="L89" i="1"/>
  <c r="I89" i="1"/>
  <c r="K91" i="1"/>
  <c r="I91" i="1"/>
  <c r="J91" i="1"/>
  <c r="L91" i="1"/>
  <c r="K93" i="1"/>
  <c r="J93" i="1"/>
  <c r="L93" i="1"/>
  <c r="I93" i="1"/>
  <c r="K95" i="1"/>
  <c r="I95" i="1"/>
  <c r="J95" i="1"/>
  <c r="L95" i="1"/>
  <c r="K97" i="1"/>
  <c r="J97" i="1"/>
  <c r="I97" i="1"/>
  <c r="L97" i="1"/>
  <c r="K99" i="1"/>
  <c r="J99" i="1"/>
  <c r="I99" i="1"/>
  <c r="L99" i="1"/>
  <c r="K101" i="1"/>
  <c r="J101" i="1"/>
  <c r="I101" i="1"/>
  <c r="L101" i="1"/>
  <c r="K103" i="1"/>
  <c r="I103" i="1"/>
  <c r="L103" i="1"/>
  <c r="J103" i="1"/>
  <c r="K105" i="1"/>
  <c r="J105" i="1"/>
  <c r="L105" i="1"/>
  <c r="I105" i="1"/>
  <c r="K107" i="1"/>
  <c r="J107" i="1"/>
  <c r="L107" i="1"/>
  <c r="I107" i="1"/>
  <c r="K109" i="1"/>
  <c r="J109" i="1"/>
  <c r="I109" i="1"/>
  <c r="L109" i="1"/>
  <c r="K111" i="1"/>
  <c r="L111" i="1"/>
  <c r="I111" i="1"/>
  <c r="J111" i="1"/>
  <c r="K113" i="1"/>
  <c r="J113" i="1"/>
  <c r="L113" i="1"/>
  <c r="I113" i="1"/>
  <c r="K115" i="1"/>
  <c r="J115" i="1"/>
  <c r="I115" i="1"/>
  <c r="L115" i="1"/>
  <c r="K117" i="1"/>
  <c r="J117" i="1"/>
  <c r="I117" i="1"/>
  <c r="L117" i="1"/>
  <c r="K77" i="1"/>
  <c r="J77" i="1"/>
  <c r="L77" i="1"/>
  <c r="I77" i="1"/>
  <c r="M28" i="1"/>
  <c r="M32" i="1"/>
  <c r="M36" i="1"/>
  <c r="M40" i="1"/>
  <c r="M29" i="1"/>
  <c r="M33" i="1"/>
  <c r="M37" i="1"/>
  <c r="M38" i="1"/>
  <c r="M31" i="1"/>
  <c r="K80" i="1"/>
  <c r="I80" i="1"/>
  <c r="J80" i="1"/>
  <c r="L80" i="1"/>
  <c r="M39" i="1"/>
  <c r="K82" i="1"/>
  <c r="L82" i="1"/>
  <c r="I82" i="1"/>
  <c r="J82" i="1"/>
  <c r="K84" i="1"/>
  <c r="I84" i="1"/>
  <c r="J84" i="1"/>
  <c r="L84" i="1"/>
  <c r="K86" i="1"/>
  <c r="L86" i="1"/>
  <c r="I86" i="1"/>
  <c r="J86" i="1"/>
  <c r="K88" i="1"/>
  <c r="I88" i="1"/>
  <c r="J88" i="1"/>
  <c r="L88" i="1"/>
  <c r="K90" i="1"/>
  <c r="L90" i="1"/>
  <c r="I90" i="1"/>
  <c r="J90" i="1"/>
  <c r="K92" i="1"/>
  <c r="I92" i="1"/>
  <c r="J92" i="1"/>
  <c r="L92" i="1"/>
  <c r="K94" i="1"/>
  <c r="L94" i="1"/>
  <c r="J94" i="1"/>
  <c r="I94" i="1"/>
  <c r="K96" i="1"/>
  <c r="I96" i="1"/>
  <c r="J96" i="1"/>
  <c r="L96" i="1"/>
  <c r="K98" i="1"/>
  <c r="L98" i="1"/>
  <c r="J98" i="1"/>
  <c r="I98" i="1"/>
  <c r="K100" i="1"/>
  <c r="I100" i="1"/>
  <c r="J100" i="1"/>
  <c r="L100" i="1"/>
  <c r="K102" i="1"/>
  <c r="L102" i="1"/>
  <c r="I102" i="1"/>
  <c r="J102" i="1"/>
  <c r="K104" i="1"/>
  <c r="I104" i="1"/>
  <c r="L104" i="1"/>
  <c r="J104" i="1"/>
  <c r="K106" i="1"/>
  <c r="L106" i="1"/>
  <c r="J106" i="1"/>
  <c r="I106" i="1"/>
  <c r="K108" i="1"/>
  <c r="I108" i="1"/>
  <c r="J108" i="1"/>
  <c r="L108" i="1"/>
  <c r="K110" i="1"/>
  <c r="L110" i="1"/>
  <c r="I110" i="1"/>
  <c r="J110" i="1"/>
  <c r="K112" i="1"/>
  <c r="I112" i="1"/>
  <c r="L112" i="1"/>
  <c r="J112" i="1"/>
  <c r="K114" i="1"/>
  <c r="L114" i="1"/>
  <c r="J114" i="1"/>
  <c r="I114" i="1"/>
  <c r="K116" i="1"/>
  <c r="I116" i="1"/>
  <c r="J116" i="1"/>
  <c r="L116" i="1"/>
  <c r="K79" i="1"/>
  <c r="I79" i="1"/>
  <c r="J79" i="1"/>
  <c r="L79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M114" i="1" l="1"/>
  <c r="M106" i="1"/>
  <c r="M98" i="1"/>
  <c r="M94" i="1"/>
  <c r="M77" i="1"/>
  <c r="M117" i="1"/>
  <c r="M113" i="1"/>
  <c r="M109" i="1"/>
  <c r="M89" i="1"/>
  <c r="M85" i="1"/>
  <c r="M81" i="1"/>
  <c r="K67" i="1"/>
  <c r="I67" i="1"/>
  <c r="L67" i="1"/>
  <c r="J67" i="1"/>
  <c r="K71" i="1"/>
  <c r="I71" i="1"/>
  <c r="J71" i="1"/>
  <c r="L71" i="1"/>
  <c r="K66" i="1"/>
  <c r="L66" i="1"/>
  <c r="I66" i="1"/>
  <c r="J66" i="1"/>
  <c r="M79" i="1"/>
  <c r="M112" i="1"/>
  <c r="M104" i="1"/>
  <c r="M96" i="1"/>
  <c r="M92" i="1"/>
  <c r="M88" i="1"/>
  <c r="M84" i="1"/>
  <c r="M107" i="1"/>
  <c r="M78" i="1"/>
  <c r="M80" i="1"/>
  <c r="M115" i="1"/>
  <c r="M111" i="1"/>
  <c r="M99" i="1"/>
  <c r="K75" i="1"/>
  <c r="I75" i="1"/>
  <c r="J75" i="1"/>
  <c r="L75" i="1"/>
  <c r="K63" i="1"/>
  <c r="I63" i="1"/>
  <c r="J63" i="1"/>
  <c r="L63" i="1"/>
  <c r="K74" i="1"/>
  <c r="L74" i="1"/>
  <c r="I74" i="1"/>
  <c r="J74" i="1"/>
  <c r="K70" i="1"/>
  <c r="L70" i="1"/>
  <c r="I70" i="1"/>
  <c r="J70" i="1"/>
  <c r="K62" i="1"/>
  <c r="L62" i="1"/>
  <c r="J62" i="1"/>
  <c r="I62" i="1"/>
  <c r="M116" i="1"/>
  <c r="M108" i="1"/>
  <c r="M100" i="1"/>
  <c r="K73" i="1"/>
  <c r="J73" i="1"/>
  <c r="L73" i="1"/>
  <c r="I73" i="1"/>
  <c r="K69" i="1"/>
  <c r="J69" i="1"/>
  <c r="L69" i="1"/>
  <c r="I69" i="1"/>
  <c r="K65" i="1"/>
  <c r="J65" i="1"/>
  <c r="L65" i="1"/>
  <c r="I65" i="1"/>
  <c r="K61" i="1"/>
  <c r="J61" i="1"/>
  <c r="L61" i="1"/>
  <c r="I61" i="1"/>
  <c r="K76" i="1"/>
  <c r="I76" i="1"/>
  <c r="J76" i="1"/>
  <c r="L76" i="1"/>
  <c r="K72" i="1"/>
  <c r="I72" i="1"/>
  <c r="J72" i="1"/>
  <c r="L72" i="1"/>
  <c r="K68" i="1"/>
  <c r="I68" i="1"/>
  <c r="J68" i="1"/>
  <c r="L68" i="1"/>
  <c r="K64" i="1"/>
  <c r="I64" i="1"/>
  <c r="J64" i="1"/>
  <c r="L64" i="1"/>
  <c r="M110" i="1"/>
  <c r="M102" i="1"/>
  <c r="M90" i="1"/>
  <c r="M86" i="1"/>
  <c r="M82" i="1"/>
  <c r="M105" i="1"/>
  <c r="M103" i="1"/>
  <c r="M101" i="1"/>
  <c r="M97" i="1"/>
  <c r="M95" i="1"/>
  <c r="M93" i="1"/>
  <c r="M91" i="1"/>
  <c r="M87" i="1"/>
  <c r="M83" i="1"/>
  <c r="E121" i="1"/>
  <c r="E122" i="1"/>
  <c r="E123" i="1"/>
  <c r="E124" i="1"/>
  <c r="E125" i="1"/>
  <c r="E140" i="1"/>
  <c r="E141" i="1"/>
  <c r="M62" i="1" l="1"/>
  <c r="M66" i="1"/>
  <c r="K122" i="1"/>
  <c r="L122" i="1"/>
  <c r="J122" i="1"/>
  <c r="I122" i="1"/>
  <c r="K125" i="1"/>
  <c r="J125" i="1"/>
  <c r="I125" i="1"/>
  <c r="L125" i="1"/>
  <c r="K121" i="1"/>
  <c r="J121" i="1"/>
  <c r="L121" i="1"/>
  <c r="I121" i="1"/>
  <c r="M63" i="1"/>
  <c r="M75" i="1"/>
  <c r="K124" i="1"/>
  <c r="I124" i="1"/>
  <c r="J124" i="1"/>
  <c r="L124" i="1"/>
  <c r="M64" i="1"/>
  <c r="M72" i="1"/>
  <c r="M71" i="1"/>
  <c r="M67" i="1"/>
  <c r="K140" i="1"/>
  <c r="I140" i="1"/>
  <c r="J140" i="1"/>
  <c r="L140" i="1"/>
  <c r="M68" i="1"/>
  <c r="M76" i="1"/>
  <c r="K141" i="1"/>
  <c r="J141" i="1"/>
  <c r="I141" i="1"/>
  <c r="L141" i="1"/>
  <c r="K123" i="1"/>
  <c r="J123" i="1"/>
  <c r="L123" i="1"/>
  <c r="I123" i="1"/>
  <c r="M61" i="1"/>
  <c r="M65" i="1"/>
  <c r="M69" i="1"/>
  <c r="M73" i="1"/>
  <c r="M70" i="1"/>
  <c r="M74" i="1"/>
  <c r="E118" i="1"/>
  <c r="E119" i="1"/>
  <c r="E120" i="1"/>
  <c r="M123" i="1" l="1"/>
  <c r="M124" i="1"/>
  <c r="M140" i="1"/>
  <c r="K119" i="1"/>
  <c r="I119" i="1"/>
  <c r="L119" i="1"/>
  <c r="J119" i="1"/>
  <c r="M122" i="1"/>
  <c r="K118" i="1"/>
  <c r="L118" i="1"/>
  <c r="I118" i="1"/>
  <c r="J118" i="1"/>
  <c r="K120" i="1"/>
  <c r="I120" i="1"/>
  <c r="L120" i="1"/>
  <c r="J120" i="1"/>
  <c r="M141" i="1"/>
  <c r="M121" i="1"/>
  <c r="M125" i="1"/>
  <c r="E18" i="1"/>
  <c r="E19" i="1"/>
  <c r="E20" i="1"/>
  <c r="E21" i="1"/>
  <c r="E22" i="1"/>
  <c r="E23" i="1"/>
  <c r="E24" i="1"/>
  <c r="E25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B18" i="1"/>
  <c r="B19" i="1"/>
  <c r="B20" i="1"/>
  <c r="B21" i="1"/>
  <c r="B22" i="1"/>
  <c r="B23" i="1"/>
  <c r="B24" i="1"/>
  <c r="B25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118" i="1"/>
  <c r="B119" i="1"/>
  <c r="B120" i="1"/>
  <c r="B121" i="1"/>
  <c r="B122" i="1"/>
  <c r="B123" i="1"/>
  <c r="B124" i="1"/>
  <c r="B125" i="1"/>
  <c r="B132" i="1"/>
  <c r="B133" i="1"/>
  <c r="B134" i="1"/>
  <c r="B135" i="1"/>
  <c r="B139" i="1"/>
  <c r="B140" i="1"/>
  <c r="B141" i="1"/>
  <c r="K60" i="1" l="1"/>
  <c r="I60" i="1"/>
  <c r="J60" i="1"/>
  <c r="L60" i="1"/>
  <c r="K48" i="1"/>
  <c r="I48" i="1"/>
  <c r="J48" i="1"/>
  <c r="L48" i="1"/>
  <c r="K44" i="1"/>
  <c r="I44" i="1"/>
  <c r="J44" i="1"/>
  <c r="L44" i="1"/>
  <c r="K21" i="1"/>
  <c r="J21" i="1"/>
  <c r="L21" i="1"/>
  <c r="I21" i="1"/>
  <c r="K59" i="1"/>
  <c r="I59" i="1"/>
  <c r="L59" i="1"/>
  <c r="J59" i="1"/>
  <c r="K55" i="1"/>
  <c r="I55" i="1"/>
  <c r="J55" i="1"/>
  <c r="L55" i="1"/>
  <c r="K51" i="1"/>
  <c r="I51" i="1"/>
  <c r="L51" i="1"/>
  <c r="J51" i="1"/>
  <c r="K47" i="1"/>
  <c r="I47" i="1"/>
  <c r="J47" i="1"/>
  <c r="L47" i="1"/>
  <c r="K43" i="1"/>
  <c r="I43" i="1"/>
  <c r="L43" i="1"/>
  <c r="J43" i="1"/>
  <c r="K24" i="1"/>
  <c r="I24" i="1"/>
  <c r="J24" i="1"/>
  <c r="L24" i="1"/>
  <c r="K20" i="1"/>
  <c r="I20" i="1"/>
  <c r="J20" i="1"/>
  <c r="L20" i="1"/>
  <c r="M120" i="1"/>
  <c r="K52" i="1"/>
  <c r="I52" i="1"/>
  <c r="J52" i="1"/>
  <c r="L52" i="1"/>
  <c r="K25" i="1"/>
  <c r="J25" i="1"/>
  <c r="L25" i="1"/>
  <c r="I25" i="1"/>
  <c r="K58" i="1"/>
  <c r="L58" i="1"/>
  <c r="I58" i="1"/>
  <c r="J58" i="1"/>
  <c r="K54" i="1"/>
  <c r="L54" i="1"/>
  <c r="J54" i="1"/>
  <c r="I54" i="1"/>
  <c r="K50" i="1"/>
  <c r="L50" i="1"/>
  <c r="I50" i="1"/>
  <c r="J50" i="1"/>
  <c r="K46" i="1"/>
  <c r="L46" i="1"/>
  <c r="J46" i="1"/>
  <c r="I46" i="1"/>
  <c r="K42" i="1"/>
  <c r="L42" i="1"/>
  <c r="I42" i="1"/>
  <c r="J42" i="1"/>
  <c r="K23" i="1"/>
  <c r="I23" i="1"/>
  <c r="J23" i="1"/>
  <c r="L23" i="1"/>
  <c r="K19" i="1"/>
  <c r="I19" i="1"/>
  <c r="L19" i="1"/>
  <c r="J19" i="1"/>
  <c r="M119" i="1"/>
  <c r="K56" i="1"/>
  <c r="I56" i="1"/>
  <c r="J56" i="1"/>
  <c r="L56" i="1"/>
  <c r="K57" i="1"/>
  <c r="J57" i="1"/>
  <c r="L57" i="1"/>
  <c r="I57" i="1"/>
  <c r="K53" i="1"/>
  <c r="J53" i="1"/>
  <c r="L53" i="1"/>
  <c r="I53" i="1"/>
  <c r="K49" i="1"/>
  <c r="J49" i="1"/>
  <c r="L49" i="1"/>
  <c r="I49" i="1"/>
  <c r="K45" i="1"/>
  <c r="J45" i="1"/>
  <c r="L45" i="1"/>
  <c r="I45" i="1"/>
  <c r="K41" i="1"/>
  <c r="J41" i="1"/>
  <c r="L41" i="1"/>
  <c r="I41" i="1"/>
  <c r="K22" i="1"/>
  <c r="L22" i="1"/>
  <c r="J22" i="1"/>
  <c r="I22" i="1"/>
  <c r="K18" i="1"/>
  <c r="L18" i="1"/>
  <c r="I18" i="1"/>
  <c r="J18" i="1"/>
  <c r="M118" i="1"/>
  <c r="E17" i="1"/>
  <c r="E5" i="1"/>
  <c r="B17" i="1"/>
  <c r="M56" i="1" l="1"/>
  <c r="M23" i="1"/>
  <c r="M46" i="1"/>
  <c r="M54" i="1"/>
  <c r="M25" i="1"/>
  <c r="K17" i="1"/>
  <c r="J17" i="1"/>
  <c r="L17" i="1"/>
  <c r="I17" i="1"/>
  <c r="M18" i="1"/>
  <c r="M22" i="1"/>
  <c r="M41" i="1"/>
  <c r="M45" i="1"/>
  <c r="M49" i="1"/>
  <c r="M53" i="1"/>
  <c r="M57" i="1"/>
  <c r="M52" i="1"/>
  <c r="M21" i="1"/>
  <c r="M20" i="1"/>
  <c r="M24" i="1"/>
  <c r="M43" i="1"/>
  <c r="M47" i="1"/>
  <c r="M51" i="1"/>
  <c r="M55" i="1"/>
  <c r="M59" i="1"/>
  <c r="M44" i="1"/>
  <c r="M48" i="1"/>
  <c r="M60" i="1"/>
  <c r="M19" i="1"/>
  <c r="M42" i="1"/>
  <c r="M50" i="1"/>
  <c r="M58" i="1"/>
  <c r="I5" i="1"/>
  <c r="K5" i="1"/>
  <c r="J5" i="1"/>
  <c r="L5" i="1"/>
  <c r="M17" i="1" l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4" authorId="0" shapeId="0" xr:uid="{EC0B9AA2-657B-4829-A1D8-504D88113FF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Thực tập 2 tháng từ 18/3 - 17/5/25. giữ nguyên lương LR, sau 2 tháng ko phù hợp về lại LR</t>
        </r>
      </text>
    </comment>
  </commentList>
</comments>
</file>

<file path=xl/sharedStrings.xml><?xml version="1.0" encoding="utf-8"?>
<sst xmlns="http://schemas.openxmlformats.org/spreadsheetml/2006/main" count="300" uniqueCount="282">
  <si>
    <t>STT</t>
  </si>
  <si>
    <t>ID</t>
  </si>
  <si>
    <t>Họ và Tên</t>
  </si>
  <si>
    <t>Ngày làm thêm</t>
  </si>
  <si>
    <r>
      <t xml:space="preserve">Nội dung công việc
</t>
    </r>
    <r>
      <rPr>
        <b/>
        <i/>
        <sz val="12"/>
        <rFont val="Times New Roman"/>
        <family val="1"/>
      </rPr>
      <t>(Ghi dõ công việc của từng cá nhân)</t>
    </r>
  </si>
  <si>
    <t>Thời gian làm thêm</t>
  </si>
  <si>
    <t>Ghi chú</t>
  </si>
  <si>
    <t>Từ</t>
  </si>
  <si>
    <t>Đến</t>
  </si>
  <si>
    <t>Tổng giờ làm thêm</t>
  </si>
  <si>
    <t>Thêm thứ vào</t>
  </si>
  <si>
    <t>d</t>
  </si>
  <si>
    <t>dd</t>
  </si>
  <si>
    <t>ddd</t>
  </si>
  <si>
    <t>dddd</t>
  </si>
  <si>
    <t>[$-vi-VN]</t>
  </si>
  <si>
    <t>[$-42a]</t>
  </si>
  <si>
    <t>m</t>
  </si>
  <si>
    <t>mm</t>
  </si>
  <si>
    <t>mmm</t>
  </si>
  <si>
    <t>mmmm</t>
  </si>
  <si>
    <t>y</t>
  </si>
  <si>
    <t>yy</t>
  </si>
  <si>
    <t>yyy</t>
  </si>
  <si>
    <t>yyyy</t>
  </si>
  <si>
    <t>Ghi chú:</t>
  </si>
  <si>
    <t>- Người kiểm tra: TP; Người duyệt: GĐ</t>
  </si>
  <si>
    <t>- Danh sách đăng ký làm thêm phải gửi cho GĐ ký duyệt trước 16h hàng ngày, nếu làm thêm ngày nghỉ thì gửi trước 16h ngày hôm trước.</t>
  </si>
  <si>
    <t xml:space="preserve">     Người lập
(Ký, ghi họ tên)</t>
  </si>
  <si>
    <t xml:space="preserve">        Người kiểm tra
        (Ký, ghi họ tên)</t>
  </si>
  <si>
    <t xml:space="preserve">                             Người duyệt
                              (Ký, ghi họ tên)</t>
  </si>
  <si>
    <t>Họ tên</t>
  </si>
  <si>
    <t>Tên công ty</t>
  </si>
  <si>
    <t>00924</t>
  </si>
  <si>
    <t>Đào Trọng Tài</t>
  </si>
  <si>
    <t>00917</t>
  </si>
  <si>
    <t>Vũ Thị Thùy Dương</t>
  </si>
  <si>
    <t>00943</t>
  </si>
  <si>
    <t>Võ Văn Hợi</t>
  </si>
  <si>
    <t>00944</t>
  </si>
  <si>
    <t>Hà Hồng Quân</t>
  </si>
  <si>
    <t>00968</t>
  </si>
  <si>
    <t>Phạm Thị Quỳnh Ngoan</t>
  </si>
  <si>
    <t>00187</t>
  </si>
  <si>
    <t>Lê Thị Phượng</t>
  </si>
  <si>
    <t>00925</t>
  </si>
  <si>
    <t>Hoàng Thị Liên</t>
  </si>
  <si>
    <t>00192</t>
  </si>
  <si>
    <t>Trịnh Văn Tráng</t>
  </si>
  <si>
    <t>00088</t>
  </si>
  <si>
    <t>Nguyễn Bá Chiến</t>
  </si>
  <si>
    <t>00465</t>
  </si>
  <si>
    <t>Hoàng Viết Hòa</t>
  </si>
  <si>
    <t>00562</t>
  </si>
  <si>
    <t>Nguyễn Phan Anh</t>
  </si>
  <si>
    <t>00653</t>
  </si>
  <si>
    <t>Lê Ngọc Lâm</t>
  </si>
  <si>
    <t>00661</t>
  </si>
  <si>
    <t>Phạm Văn Mạnh</t>
  </si>
  <si>
    <t>00671</t>
  </si>
  <si>
    <t>Phạm Đức Hùng</t>
  </si>
  <si>
    <t>00672</t>
  </si>
  <si>
    <t>Nguyễn Trường Phước</t>
  </si>
  <si>
    <t>00760</t>
  </si>
  <si>
    <t>Nguyễn Văn Thăng</t>
  </si>
  <si>
    <t>00763</t>
  </si>
  <si>
    <t>Cao Văn Vũ</t>
  </si>
  <si>
    <t>00802</t>
  </si>
  <si>
    <t>Phạm Văn Điệp</t>
  </si>
  <si>
    <t>00863</t>
  </si>
  <si>
    <t>Nguyễn Bá Thanh</t>
  </si>
  <si>
    <t>00879</t>
  </si>
  <si>
    <t>Trần Tiến Anh</t>
  </si>
  <si>
    <t>00692</t>
  </si>
  <si>
    <t>Nguyễn Tuấn Anh</t>
  </si>
  <si>
    <t>00900</t>
  </si>
  <si>
    <t>Trịnh Văn Huy</t>
  </si>
  <si>
    <t>00972</t>
  </si>
  <si>
    <t>Nguyễn Văn Huy</t>
  </si>
  <si>
    <t>00977</t>
  </si>
  <si>
    <t>Lương Minh Thành</t>
  </si>
  <si>
    <t>01003</t>
  </si>
  <si>
    <t>Nguyễn Văn Sang</t>
  </si>
  <si>
    <t>01020</t>
  </si>
  <si>
    <t>Phạm Duy Khánh</t>
  </si>
  <si>
    <t>01036</t>
  </si>
  <si>
    <t>Lương Thái An</t>
  </si>
  <si>
    <t>01044</t>
  </si>
  <si>
    <t>Nguyễn Ngọc Thiện</t>
  </si>
  <si>
    <t>01096</t>
  </si>
  <si>
    <t>Lê Văn Thạo</t>
  </si>
  <si>
    <t>00926</t>
  </si>
  <si>
    <t>Đỗ Viết Điệp</t>
  </si>
  <si>
    <t>00139</t>
  </si>
  <si>
    <t>Trịnh Văn Hậu</t>
  </si>
  <si>
    <t>00567</t>
  </si>
  <si>
    <t>Lê Quang Huy</t>
  </si>
  <si>
    <t>00705</t>
  </si>
  <si>
    <t>Trần Đức Thanh</t>
  </si>
  <si>
    <t>00137</t>
  </si>
  <si>
    <t>Nguyễn Đăng Dũng</t>
  </si>
  <si>
    <t>00742</t>
  </si>
  <si>
    <t>Đỗ Công Minh</t>
  </si>
  <si>
    <t>00759</t>
  </si>
  <si>
    <t>Phạm Hoàng Anh</t>
  </si>
  <si>
    <t>01061</t>
  </si>
  <si>
    <t>Nguyễn Duy Khoa</t>
  </si>
  <si>
    <t>01075</t>
  </si>
  <si>
    <t>Kiều Tuấn Kiệt</t>
  </si>
  <si>
    <t>01076</t>
  </si>
  <si>
    <t>Nguyễn Đức Mạnh</t>
  </si>
  <si>
    <t>00536</t>
  </si>
  <si>
    <t>Đinh Hồng Sơn</t>
  </si>
  <si>
    <t>00695</t>
  </si>
  <si>
    <t>Phạm Đức Bình</t>
  </si>
  <si>
    <t>00740</t>
  </si>
  <si>
    <t>Đinh Thành Nam</t>
  </si>
  <si>
    <t>01092</t>
  </si>
  <si>
    <t>Nguyễn Đức Hải</t>
  </si>
  <si>
    <t>01016</t>
  </si>
  <si>
    <t>Trần Văn Quyết</t>
  </si>
  <si>
    <t>00581</t>
  </si>
  <si>
    <t>Nguyễn Văn Hùng</t>
  </si>
  <si>
    <t>00855</t>
  </si>
  <si>
    <t>Phạm Việt Anh</t>
  </si>
  <si>
    <t>00874</t>
  </si>
  <si>
    <t>Lê Thế Mạnh</t>
  </si>
  <si>
    <t>00886</t>
  </si>
  <si>
    <t>Trần Anh Tuấn</t>
  </si>
  <si>
    <t>01008</t>
  </si>
  <si>
    <t>Nguyễn Đình Huy</t>
  </si>
  <si>
    <t>01021</t>
  </si>
  <si>
    <t>Trần Quang Trường</t>
  </si>
  <si>
    <t>01035</t>
  </si>
  <si>
    <t>Trần Văn Chi</t>
  </si>
  <si>
    <t>01068</t>
  </si>
  <si>
    <t>Phùng Văn Sơn</t>
  </si>
  <si>
    <t>00854</t>
  </si>
  <si>
    <t>Hoàng Việt Tùng</t>
  </si>
  <si>
    <t>01079</t>
  </si>
  <si>
    <t>Lê Hải Long</t>
  </si>
  <si>
    <t>01082</t>
  </si>
  <si>
    <t>00928</t>
  </si>
  <si>
    <t>Nguyễn Thị Thùy Trang</t>
  </si>
  <si>
    <t>00681</t>
  </si>
  <si>
    <t>Nguyễn Qúy Trường</t>
  </si>
  <si>
    <t>00960</t>
  </si>
  <si>
    <t>Nguyễn Thị Thủy Điệp</t>
  </si>
  <si>
    <t>00319</t>
  </si>
  <si>
    <t>Bùi Thị Anh</t>
  </si>
  <si>
    <t>00869</t>
  </si>
  <si>
    <t>Bùi Thu Ngân</t>
  </si>
  <si>
    <t>00893</t>
  </si>
  <si>
    <t>Nguyễn Thị Thu Uyên</t>
  </si>
  <si>
    <t>01017</t>
  </si>
  <si>
    <t>Nguyễn Thị Thu Trà</t>
  </si>
  <si>
    <t>00929</t>
  </si>
  <si>
    <t>Vũ Thị Phượng</t>
  </si>
  <si>
    <t>00639</t>
  </si>
  <si>
    <t>Nguyễn Thị Huyền Trang</t>
  </si>
  <si>
    <t>00888</t>
  </si>
  <si>
    <t>Nguyễn Huyền Trang</t>
  </si>
  <si>
    <t>00101</t>
  </si>
  <si>
    <t>Lê Thị Hà</t>
  </si>
  <si>
    <t>00903</t>
  </si>
  <si>
    <t>Nguyễn Thị Thu Thủy</t>
  </si>
  <si>
    <t>00990</t>
  </si>
  <si>
    <t>Nguyễn Thị Hồng</t>
  </si>
  <si>
    <t>00895</t>
  </si>
  <si>
    <t>Vũ Văn Tuynh</t>
  </si>
  <si>
    <t>01033</t>
  </si>
  <si>
    <t>Nguyễn Hồng Hiệp</t>
  </si>
  <si>
    <t>00931</t>
  </si>
  <si>
    <t>Khuất Quang Tiến</t>
  </si>
  <si>
    <t>00128</t>
  </si>
  <si>
    <t>Nguyễn Hữu Quyền</t>
  </si>
  <si>
    <t>00125</t>
  </si>
  <si>
    <t>Nguyễn Văn Linh</t>
  </si>
  <si>
    <t>00112</t>
  </si>
  <si>
    <t>Nguyễn Thanh Bình</t>
  </si>
  <si>
    <t>00198</t>
  </si>
  <si>
    <t>Nguyễn Hữu Nam</t>
  </si>
  <si>
    <t>00590</t>
  </si>
  <si>
    <t>Nguyễn Khắc Quân</t>
  </si>
  <si>
    <t>00620</t>
  </si>
  <si>
    <t>Nguyễn Bá Đạt</t>
  </si>
  <si>
    <t>00629</t>
  </si>
  <si>
    <t>Lê Tùng Lâm</t>
  </si>
  <si>
    <t>00693</t>
  </si>
  <si>
    <t>Bùi Đức Khánh</t>
  </si>
  <si>
    <t>00710</t>
  </si>
  <si>
    <t>Nguyễn Thế Mạnh Hùng</t>
  </si>
  <si>
    <t>00847</t>
  </si>
  <si>
    <t>Đặng Đình Luân</t>
  </si>
  <si>
    <t>00857</t>
  </si>
  <si>
    <t>Vũ Tùng Dương</t>
  </si>
  <si>
    <t>00896</t>
  </si>
  <si>
    <t>Nguyễn Đình Tươi</t>
  </si>
  <si>
    <t>01019</t>
  </si>
  <si>
    <t>Nguyễn Văn Việt Anh</t>
  </si>
  <si>
    <t>01031</t>
  </si>
  <si>
    <t>Đinh Văn Hưng</t>
  </si>
  <si>
    <t>01032</t>
  </si>
  <si>
    <t>Vũ Anh Quốc</t>
  </si>
  <si>
    <t>01095</t>
  </si>
  <si>
    <t>Nguyễn Thành Danh</t>
  </si>
  <si>
    <t>00102</t>
  </si>
  <si>
    <t>Đặng Tài Chính</t>
  </si>
  <si>
    <t>00200</t>
  </si>
  <si>
    <t>Nguyễn Hữu Trung</t>
  </si>
  <si>
    <t>00543</t>
  </si>
  <si>
    <t>Lê Văn Tiến</t>
  </si>
  <si>
    <t>00545</t>
  </si>
  <si>
    <t>Đoàn Trọng Hùng</t>
  </si>
  <si>
    <t>00553</t>
  </si>
  <si>
    <t>Kiều Quang Huy</t>
  </si>
  <si>
    <t>00698</t>
  </si>
  <si>
    <t>Dương Hữu Duẩn</t>
  </si>
  <si>
    <t>00702</t>
  </si>
  <si>
    <t>Đào Duy Bằng</t>
  </si>
  <si>
    <t>00708</t>
  </si>
  <si>
    <t>Lê Văn Tiến 2</t>
  </si>
  <si>
    <t>00711</t>
  </si>
  <si>
    <t>Lê Đình Vĩ Đạt</t>
  </si>
  <si>
    <t>00542</t>
  </si>
  <si>
    <t>Nguyễn Minh Đức</t>
  </si>
  <si>
    <t>00860</t>
  </si>
  <si>
    <t>Ngô Văn Trung</t>
  </si>
  <si>
    <t>00862</t>
  </si>
  <si>
    <t>Dương Tiến Dũng</t>
  </si>
  <si>
    <t>01013</t>
  </si>
  <si>
    <t>Nguyễn Duy Khánh</t>
  </si>
  <si>
    <t>01067</t>
  </si>
  <si>
    <t>Nguyễn Văn Lộc</t>
  </si>
  <si>
    <t>01090</t>
  </si>
  <si>
    <t>Thái Khắc Hoàng</t>
  </si>
  <si>
    <t>01088</t>
  </si>
  <si>
    <t>Lê Văn Linh</t>
  </si>
  <si>
    <t>00135</t>
  </si>
  <si>
    <t>Lê Tuân</t>
  </si>
  <si>
    <t>00171</t>
  </si>
  <si>
    <t>Nguyễn Văn Huề</t>
  </si>
  <si>
    <t>00254</t>
  </si>
  <si>
    <t>Lê Ngọc Tân</t>
  </si>
  <si>
    <t>00265</t>
  </si>
  <si>
    <t>Đào Minh Tài</t>
  </si>
  <si>
    <t>00724</t>
  </si>
  <si>
    <t>Vũ Văn Lực</t>
  </si>
  <si>
    <t>00761</t>
  </si>
  <si>
    <t>Hoàng Lê Thắng</t>
  </si>
  <si>
    <t>00875</t>
  </si>
  <si>
    <t>Phạm Văn Hòa</t>
  </si>
  <si>
    <t>00876</t>
  </si>
  <si>
    <t>Nguyễn Đức Hiếu</t>
  </si>
  <si>
    <t>01112</t>
  </si>
  <si>
    <t>Trần Thị Thùy Linh</t>
  </si>
  <si>
    <t>01113</t>
  </si>
  <si>
    <t>Hoàng Việt Anh</t>
  </si>
  <si>
    <t>Nguyễn Việt Cường</t>
  </si>
  <si>
    <t>01137</t>
  </si>
  <si>
    <t>Lê Thế Hùng</t>
  </si>
  <si>
    <t>Nguyễn Xuân Đoàn</t>
  </si>
  <si>
    <t>01215</t>
  </si>
  <si>
    <t>01228</t>
  </si>
  <si>
    <t>Nguyễn Trung Phong</t>
  </si>
  <si>
    <t>Nguyễn Thế Anh</t>
  </si>
  <si>
    <t>Hoàng Đức Mạnh</t>
  </si>
  <si>
    <t>Đỗ Quang Vinh</t>
  </si>
  <si>
    <t>Vương Đức Hùng</t>
  </si>
  <si>
    <t>01223</t>
  </si>
  <si>
    <t>01222</t>
  </si>
  <si>
    <t>01235</t>
  </si>
  <si>
    <t>01238</t>
  </si>
  <si>
    <t>01240</t>
  </si>
  <si>
    <t>Follow dây chuyền làm dây Cable</t>
  </si>
  <si>
    <t>Máy ép vòng bi-  căn chỉ cụm check 1, cụm ép 3</t>
  </si>
  <si>
    <t>Máy ép vòng bi - Lắp chi tiết sửa ,căn chỉnh cụm ép 3</t>
  </si>
  <si>
    <t>Máy ép vòng bi- căn chỉnh cụm ép 1 chạy manual</t>
  </si>
  <si>
    <t xml:space="preserve">
Follow dây chuyền dây Cable</t>
  </si>
  <si>
    <t>Máy ép vòng bi</t>
  </si>
  <si>
    <t>Máy ép vòng bi test auto</t>
  </si>
  <si>
    <t>BẢNG ĐĂNG KÝ LÀM THÊM GIỜ THÁNG….9.../2026
Bộ phận: Quản lý chất lượng và bảo dưỡng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</si>
</sst>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2A]\ dd/mm/yy\ dddd"/>
  </numFmts>
  <fonts count="21"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81B3A"/>
      <name val="Times New Roman"/>
      <family val="1"/>
    </font>
    <font>
      <b/>
      <i/>
      <u/>
      <sz val="10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94">
    <xf numFmtId="0" fontId="0" fillId="0" borderId="0" xfId="0"/>
    <xf numFmtId="0" fontId="2" fillId="0" borderId="2" xfId="0" applyFont="1" applyBorder="1" applyAlignment="1">
      <alignment horizontal="centerContinuous" vertical="center" wrapText="1"/>
    </xf>
    <xf numFmtId="0" fontId="2" fillId="0" borderId="2" xfId="0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1" fillId="2" borderId="5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vertical="center"/>
    </xf>
    <xf numFmtId="0" fontId="10" fillId="0" borderId="0" xfId="2"/>
    <xf numFmtId="0" fontId="10" fillId="0" borderId="5" xfId="2" applyBorder="1"/>
    <xf numFmtId="1" fontId="7" fillId="3" borderId="5" xfId="2" applyNumberFormat="1" applyFont="1" applyFill="1" applyBorder="1" applyAlignment="1">
      <alignment horizontal="center" vertical="center"/>
    </xf>
    <xf numFmtId="0" fontId="6" fillId="0" borderId="0" xfId="2" applyFont="1"/>
    <xf numFmtId="0" fontId="8" fillId="0" borderId="0" xfId="0" applyFont="1" applyAlignment="1">
      <alignment horizontal="center" vertical="center"/>
    </xf>
    <xf numFmtId="49" fontId="9" fillId="3" borderId="5" xfId="0" quotePrefix="1" applyNumberFormat="1" applyFont="1" applyFill="1" applyBorder="1" applyAlignment="1">
      <alignment vertical="center"/>
    </xf>
    <xf numFmtId="49" fontId="9" fillId="3" borderId="5" xfId="0" applyNumberFormat="1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/>
    </xf>
    <xf numFmtId="1" fontId="9" fillId="3" borderId="5" xfId="0" quotePrefix="1" applyNumberFormat="1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5" xfId="0" quotePrefix="1" applyFont="1" applyFill="1" applyBorder="1" applyAlignment="1">
      <alignment vertical="center"/>
    </xf>
    <xf numFmtId="0" fontId="9" fillId="3" borderId="5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 vertical="center" wrapText="1"/>
    </xf>
    <xf numFmtId="0" fontId="9" fillId="2" borderId="5" xfId="0" quotePrefix="1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 wrapText="1"/>
    </xf>
    <xf numFmtId="49" fontId="9" fillId="2" borderId="5" xfId="0" applyNumberFormat="1" applyFont="1" applyFill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vertical="center" wrapText="1"/>
    </xf>
    <xf numFmtId="0" fontId="9" fillId="3" borderId="5" xfId="0" quotePrefix="1" applyFont="1" applyFill="1" applyBorder="1"/>
    <xf numFmtId="0" fontId="9" fillId="2" borderId="3" xfId="0" quotePrefix="1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/>
    </xf>
    <xf numFmtId="165" fontId="15" fillId="3" borderId="5" xfId="0" applyNumberFormat="1" applyFont="1" applyFill="1" applyBorder="1" applyAlignment="1">
      <alignment horizontal="left" vertical="center"/>
    </xf>
    <xf numFmtId="0" fontId="16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16" fillId="3" borderId="5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left" vertical="center"/>
    </xf>
    <xf numFmtId="0" fontId="17" fillId="3" borderId="5" xfId="0" applyFont="1" applyFill="1" applyBorder="1"/>
    <xf numFmtId="2" fontId="16" fillId="3" borderId="5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2" fontId="15" fillId="3" borderId="5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5" fillId="3" borderId="5" xfId="2" applyNumberFormat="1" applyFont="1" applyFill="1" applyBorder="1" applyAlignment="1">
      <alignment horizontal="left" vertical="center" wrapText="1"/>
    </xf>
    <xf numFmtId="0" fontId="15" fillId="3" borderId="5" xfId="2" applyFont="1" applyFill="1" applyBorder="1" applyAlignment="1">
      <alignment horizontal="left" vertical="center"/>
    </xf>
    <xf numFmtId="0" fontId="15" fillId="3" borderId="5" xfId="2" applyFont="1" applyFill="1" applyBorder="1" applyAlignment="1">
      <alignment horizontal="left"/>
    </xf>
    <xf numFmtId="0" fontId="15" fillId="3" borderId="5" xfId="2" applyFont="1" applyFill="1" applyBorder="1"/>
    <xf numFmtId="49" fontId="15" fillId="3" borderId="5" xfId="2" applyNumberFormat="1" applyFont="1" applyFill="1" applyBorder="1" applyAlignment="1">
      <alignment vertical="center" wrapText="1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left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5" fillId="0" borderId="0" xfId="0" applyFont="1"/>
    <xf numFmtId="0" fontId="17" fillId="3" borderId="5" xfId="0" applyFont="1" applyFill="1" applyBorder="1" applyAlignment="1">
      <alignment vertical="center"/>
    </xf>
    <xf numFmtId="0" fontId="6" fillId="0" borderId="5" xfId="2" applyFont="1" applyBorder="1" applyAlignment="1">
      <alignment horizontal="left"/>
    </xf>
    <xf numFmtId="0" fontId="15" fillId="3" borderId="4" xfId="0" applyFont="1" applyFill="1" applyBorder="1" applyAlignment="1">
      <alignment horizontal="left" vertical="center"/>
    </xf>
    <xf numFmtId="0" fontId="6" fillId="0" borderId="5" xfId="2" quotePrefix="1" applyFont="1" applyBorder="1" applyAlignment="1">
      <alignment horizontal="left"/>
    </xf>
    <xf numFmtId="49" fontId="20" fillId="3" borderId="5" xfId="0" applyNumberFormat="1" applyFont="1" applyFill="1" applyBorder="1" applyAlignment="1">
      <alignment horizontal="left" vertical="center" wrapText="1"/>
    </xf>
    <xf numFmtId="0" fontId="20" fillId="3" borderId="5" xfId="0" quotePrefix="1" applyFont="1" applyFill="1" applyBorder="1" applyAlignment="1">
      <alignment horizontal="left" wrapText="1"/>
    </xf>
    <xf numFmtId="0" fontId="20" fillId="0" borderId="5" xfId="0" quotePrefix="1" applyFont="1" applyBorder="1" applyAlignment="1">
      <alignment horizontal="left" wrapText="1"/>
    </xf>
    <xf numFmtId="49" fontId="20" fillId="0" borderId="5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8" fillId="3" borderId="0" xfId="0" applyFont="1" applyFill="1" applyAlignment="1">
      <alignment horizontal="left"/>
    </xf>
    <xf numFmtId="0" fontId="16" fillId="3" borderId="0" xfId="0" applyFont="1" applyFill="1" applyAlignment="1">
      <alignment horizontal="left"/>
    </xf>
    <xf numFmtId="0" fontId="16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53341</xdr:rowOff>
    </xdr:from>
    <xdr:to>
      <xdr:col>2</xdr:col>
      <xdr:colOff>1146</xdr:colOff>
      <xdr:row>1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90720-E6CB-486F-8AFF-4EC749BF3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53341"/>
          <a:ext cx="114414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96"/>
  <sheetViews>
    <sheetView tabSelected="1" view="pageBreakPreview" zoomScale="85" zoomScaleNormal="100" zoomScaleSheetLayoutView="85" workbookViewId="0">
      <selection activeCell="C3" sqref="C3:C4"/>
    </sheetView>
  </sheetViews>
  <sheetFormatPr defaultRowHeight="15"/>
  <cols>
    <col min="1" max="1" width="7.28515625" style="12" customWidth="1"/>
    <col min="2" max="2" width="9.5703125" style="12" customWidth="1"/>
    <col min="3" max="3" width="22.7109375" style="13" customWidth="1"/>
    <col min="4" max="4" width="19.7109375" style="14" customWidth="1"/>
    <col min="5" max="5" width="7.28515625" style="13" customWidth="1"/>
    <col min="6" max="6" width="36.85546875" style="13" customWidth="1"/>
    <col min="7" max="8" width="9.140625" style="13" customWidth="1"/>
    <col min="9" max="12" width="9.140625" style="23" customWidth="1"/>
    <col min="13" max="13" width="10.28515625" style="23" customWidth="1"/>
    <col min="14" max="17" width="20.7109375" style="13" customWidth="1"/>
  </cols>
  <sheetData>
    <row r="1" spans="1:24" ht="21" customHeight="1">
      <c r="B1" s="23"/>
      <c r="C1" s="77" t="s">
        <v>281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24" ht="21" customHeight="1"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24" ht="34.5" customHeight="1">
      <c r="A3" s="82" t="s">
        <v>0</v>
      </c>
      <c r="B3" s="82" t="s">
        <v>1</v>
      </c>
      <c r="C3" s="82" t="s">
        <v>2</v>
      </c>
      <c r="D3" s="90" t="s">
        <v>3</v>
      </c>
      <c r="E3" s="91"/>
      <c r="F3" s="84" t="s">
        <v>4</v>
      </c>
      <c r="G3" s="1" t="s">
        <v>5</v>
      </c>
      <c r="H3" s="2"/>
      <c r="I3" s="88">
        <v>1.5</v>
      </c>
      <c r="J3" s="88">
        <v>2</v>
      </c>
      <c r="K3" s="88">
        <v>2.1</v>
      </c>
      <c r="L3" s="88">
        <v>2.7</v>
      </c>
      <c r="M3" s="88" t="s">
        <v>9</v>
      </c>
      <c r="N3" s="86" t="s">
        <v>6</v>
      </c>
      <c r="O3" s="3"/>
      <c r="P3" s="3"/>
      <c r="Q3" s="3"/>
    </row>
    <row r="4" spans="1:24" ht="34.5" customHeight="1">
      <c r="A4" s="83"/>
      <c r="B4" s="83"/>
      <c r="C4" s="83"/>
      <c r="D4" s="92"/>
      <c r="E4" s="93"/>
      <c r="F4" s="85"/>
      <c r="G4" s="4" t="s">
        <v>7</v>
      </c>
      <c r="H4" s="4" t="s">
        <v>8</v>
      </c>
      <c r="I4" s="89"/>
      <c r="J4" s="89"/>
      <c r="K4" s="89"/>
      <c r="L4" s="89"/>
      <c r="M4" s="89"/>
      <c r="N4" s="87"/>
      <c r="O4" s="5"/>
      <c r="P4" s="5"/>
      <c r="Q4" s="5"/>
      <c r="W4" t="s">
        <v>10</v>
      </c>
    </row>
    <row r="5" spans="1:24" s="41" customFormat="1" ht="28.5" customHeight="1">
      <c r="A5" s="45">
        <v>1</v>
      </c>
      <c r="B5" s="71" t="str">
        <f>+INDEX('Danh sách CBCNV'!B:B,MATCH(C5,'Danh sách CBCNV'!C:C,0))</f>
        <v>01215</v>
      </c>
      <c r="C5" s="47" t="s">
        <v>260</v>
      </c>
      <c r="D5" s="40">
        <v>46269</v>
      </c>
      <c r="E5" s="69" t="str">
        <f>+IF(D5&lt;&gt;"",CHOOSE(WEEKDAY(D5),"CN","T2","T3","T4","T5","T6","T7"),"")</f>
        <v>T6</v>
      </c>
      <c r="F5" s="44" t="s">
        <v>274</v>
      </c>
      <c r="G5" s="49">
        <v>17</v>
      </c>
      <c r="H5" s="49">
        <v>19</v>
      </c>
      <c r="I5" s="52">
        <f>IF(E5="CN","",IF(AND(H5&lt;=24,G5&gt;=19),H5-G5,IF(AND(H5&lt;20,G5&gt;=17),H5-G5,IF(AND(G5&gt;=12,H5&lt;=19),H5-G5,IF(AND(H5&gt;12,H5&lt;20),(H5-G5)-1,IF(H5&gt;22,22-G5,(H5-G5)))))))</f>
        <v>2</v>
      </c>
      <c r="J5" s="52" t="str">
        <f t="shared" ref="J5:J13" si="0">IF(E5&lt;&gt;"CN","",IF(AND(H5&gt;12,H182517),(H5-G5)-1,IF(AND(E5="CN",H5&gt;=22),(22-G5-1),(H5-G5))))</f>
        <v/>
      </c>
      <c r="K5" s="52" t="str">
        <f>IF(E5="CN","",IF(H5&gt;=22,H5-22,""))</f>
        <v/>
      </c>
      <c r="L5" s="52" t="str">
        <f>IF(AND(E5="CN",H5&gt;=22),24-H5,"")</f>
        <v/>
      </c>
      <c r="M5" s="52">
        <f>SUM(I5:L5)</f>
        <v>2</v>
      </c>
      <c r="N5" s="50"/>
      <c r="O5" s="51"/>
      <c r="P5" s="51"/>
      <c r="Q5" s="51"/>
      <c r="S5" s="41" t="s">
        <v>11</v>
      </c>
      <c r="T5" s="41" t="s">
        <v>12</v>
      </c>
      <c r="U5" s="41" t="s">
        <v>13</v>
      </c>
      <c r="V5" s="41" t="s">
        <v>14</v>
      </c>
      <c r="W5" s="41" t="s">
        <v>15</v>
      </c>
      <c r="X5" s="41" t="s">
        <v>16</v>
      </c>
    </row>
    <row r="6" spans="1:24" s="41" customFormat="1" ht="28.5" customHeight="1">
      <c r="A6" s="45">
        <v>2</v>
      </c>
      <c r="B6" s="71" t="str">
        <f>+INDEX('Danh sách CBCNV'!B:B,MATCH(C6,'Danh sách CBCNV'!C:C,0))</f>
        <v>01228</v>
      </c>
      <c r="C6" s="47" t="s">
        <v>261</v>
      </c>
      <c r="D6" s="40">
        <v>46270</v>
      </c>
      <c r="E6" s="69" t="str">
        <f t="shared" ref="E6:E15" si="1">+IF(D6&lt;&gt;"",CHOOSE(WEEKDAY(D6),"CN","T2","T3","T4","T5","T6","T7"),"")</f>
        <v>T7</v>
      </c>
      <c r="F6" s="44" t="s">
        <v>275</v>
      </c>
      <c r="G6" s="49">
        <v>17</v>
      </c>
      <c r="H6" s="49">
        <v>19</v>
      </c>
      <c r="I6" s="52">
        <f t="shared" ref="I6" si="2">IF(E6="CN","",IF(AND(H6&lt;=24,G6&gt;=19),H6-G6,IF(AND(H6&lt;20,G6&gt;=17),H6-G6,IF(AND(G6&gt;=12,H6&lt;=19),H6-G6,IF(AND(H6&gt;12,H6&lt;20),(H6-G6)-1,IF(H6&gt;22,22-G6,(H6-G6)))))))</f>
        <v>2</v>
      </c>
      <c r="J6" s="52" t="str">
        <f t="shared" si="0"/>
        <v/>
      </c>
      <c r="K6" s="52" t="str">
        <f t="shared" ref="K6" si="3">IF(E6="CN","",IF(H6&gt;=22,H6-22,""))</f>
        <v/>
      </c>
      <c r="L6" s="52" t="str">
        <f t="shared" ref="L6" si="4">IF(AND(E6="CN",H6&gt;=22),24-H6,"")</f>
        <v/>
      </c>
      <c r="M6" s="52">
        <f t="shared" ref="M6" si="5">SUM(I6:L6)</f>
        <v>2</v>
      </c>
      <c r="N6" s="50"/>
      <c r="O6" s="51"/>
      <c r="P6" s="51"/>
      <c r="Q6" s="51"/>
    </row>
    <row r="7" spans="1:24" s="41" customFormat="1" ht="28.5" customHeight="1">
      <c r="A7" s="45">
        <v>3</v>
      </c>
      <c r="B7" s="71" t="str">
        <f>+INDEX('Danh sách CBCNV'!B:B,MATCH(C7,'Danh sách CBCNV'!C:C,0))</f>
        <v>01228</v>
      </c>
      <c r="C7" s="47" t="s">
        <v>261</v>
      </c>
      <c r="D7" s="40">
        <v>46271</v>
      </c>
      <c r="E7" s="69" t="str">
        <f t="shared" si="1"/>
        <v>CN</v>
      </c>
      <c r="F7" s="44" t="s">
        <v>276</v>
      </c>
      <c r="G7" s="49">
        <v>8</v>
      </c>
      <c r="H7" s="49">
        <v>17</v>
      </c>
      <c r="I7" s="52" t="str">
        <f t="shared" ref="I7:I8" si="6">IF(E7="CN","",IF(AND(H7&lt;=24,G7&gt;=19),H7-G7,IF(AND(H7&lt;20,G7&gt;=17),H7-G7,IF(AND(G7&gt;=12,H7&lt;=19),H7-G7,IF(AND(H7&gt;12,H7&lt;20),(H7-G7)-1,IF(H7&gt;22,22-G7,(H7-G7)))))))</f>
        <v/>
      </c>
      <c r="J7" s="52">
        <f t="shared" si="0"/>
        <v>8</v>
      </c>
      <c r="K7" s="52" t="str">
        <f t="shared" ref="K7:K8" si="7">IF(E7="CN","",IF(H7&gt;=22,H7-22,""))</f>
        <v/>
      </c>
      <c r="L7" s="52" t="str">
        <f t="shared" ref="L7:L8" si="8">IF(AND(E7="CN",H7&gt;=22),24-H7,"")</f>
        <v/>
      </c>
      <c r="M7" s="52">
        <f t="shared" ref="M7:M8" si="9">SUM(I7:L7)</f>
        <v>8</v>
      </c>
      <c r="N7" s="50"/>
      <c r="O7" s="51"/>
      <c r="P7" s="51"/>
      <c r="Q7" s="51"/>
    </row>
    <row r="8" spans="1:24" s="41" customFormat="1" ht="28.5" customHeight="1">
      <c r="A8" s="45">
        <v>4</v>
      </c>
      <c r="B8" s="71" t="str">
        <f>+INDEX('Danh sách CBCNV'!B:B,MATCH(C8,'Danh sách CBCNV'!C:C,0))</f>
        <v>01228</v>
      </c>
      <c r="C8" s="47" t="s">
        <v>261</v>
      </c>
      <c r="D8" s="40">
        <v>46272</v>
      </c>
      <c r="E8" s="69" t="str">
        <f t="shared" si="1"/>
        <v>T2</v>
      </c>
      <c r="F8" s="44" t="s">
        <v>277</v>
      </c>
      <c r="G8" s="49">
        <v>17</v>
      </c>
      <c r="H8" s="49">
        <v>20</v>
      </c>
      <c r="I8" s="52">
        <f t="shared" si="6"/>
        <v>3</v>
      </c>
      <c r="J8" s="52" t="str">
        <f t="shared" si="0"/>
        <v/>
      </c>
      <c r="K8" s="52" t="str">
        <f t="shared" si="7"/>
        <v/>
      </c>
      <c r="L8" s="52" t="str">
        <f t="shared" si="8"/>
        <v/>
      </c>
      <c r="M8" s="52">
        <f t="shared" si="9"/>
        <v>3</v>
      </c>
      <c r="N8" s="50"/>
      <c r="O8" s="51"/>
      <c r="P8" s="51"/>
      <c r="Q8" s="51"/>
    </row>
    <row r="9" spans="1:24" s="41" customFormat="1" ht="28.5" customHeight="1">
      <c r="A9" s="45">
        <v>5</v>
      </c>
      <c r="B9" s="71" t="str">
        <f>+INDEX('Danh sách CBCNV'!B:B,MATCH(C9,'Danh sách CBCNV'!C:C,0))</f>
        <v>01215</v>
      </c>
      <c r="C9" s="47" t="s">
        <v>260</v>
      </c>
      <c r="D9" s="40">
        <v>46273</v>
      </c>
      <c r="E9" s="69" t="str">
        <f t="shared" si="1"/>
        <v>T3</v>
      </c>
      <c r="F9" s="44" t="s">
        <v>278</v>
      </c>
      <c r="G9" s="49">
        <v>17</v>
      </c>
      <c r="H9" s="49">
        <v>20</v>
      </c>
      <c r="I9" s="52">
        <f t="shared" ref="I9:I72" si="10">IF(E9="CN","",IF(AND(H9&lt;=24,G9&gt;=19),H9-G9,IF(AND(H9&lt;20,G9&gt;=17),H9-G9,IF(AND(G9&gt;=12,H9&lt;=19),H9-G9,IF(AND(H9&gt;12,H9&lt;20),(H9-G9)-1,IF(H9&gt;22,22-G9,(H9-G9)))))))</f>
        <v>3</v>
      </c>
      <c r="J9" s="52" t="str">
        <f t="shared" si="0"/>
        <v/>
      </c>
      <c r="K9" s="52" t="str">
        <f t="shared" ref="K9:K72" si="11">IF(E9="CN","",IF(H9&gt;=22,H9-22,""))</f>
        <v/>
      </c>
      <c r="L9" s="52" t="str">
        <f t="shared" ref="L9:L72" si="12">IF(AND(E9="CN",H9&gt;=22),24-H9,"")</f>
        <v/>
      </c>
      <c r="M9" s="52">
        <f t="shared" ref="M9:M72" si="13">SUM(I9:L9)</f>
        <v>3</v>
      </c>
      <c r="N9" s="50"/>
      <c r="O9" s="51"/>
      <c r="P9" s="51"/>
      <c r="Q9" s="51"/>
    </row>
    <row r="10" spans="1:24" s="41" customFormat="1" ht="28.5" customHeight="1">
      <c r="A10" s="45">
        <v>6</v>
      </c>
      <c r="B10" s="71" t="str">
        <f>+INDEX('Danh sách CBCNV'!B:B,MATCH(C10,'Danh sách CBCNV'!C:C,0))</f>
        <v>01215</v>
      </c>
      <c r="C10" s="47" t="s">
        <v>260</v>
      </c>
      <c r="D10" s="40">
        <v>46274</v>
      </c>
      <c r="E10" s="69" t="str">
        <f t="shared" si="1"/>
        <v>T4</v>
      </c>
      <c r="F10" s="44" t="s">
        <v>278</v>
      </c>
      <c r="G10" s="49">
        <v>17</v>
      </c>
      <c r="H10" s="49">
        <v>21.25</v>
      </c>
      <c r="I10" s="52">
        <f t="shared" si="10"/>
        <v>4.25</v>
      </c>
      <c r="J10" s="52" t="str">
        <f t="shared" si="0"/>
        <v/>
      </c>
      <c r="K10" s="52" t="str">
        <f t="shared" si="11"/>
        <v/>
      </c>
      <c r="L10" s="52" t="str">
        <f t="shared" si="12"/>
        <v/>
      </c>
      <c r="M10" s="52">
        <f t="shared" si="13"/>
        <v>4.25</v>
      </c>
      <c r="N10" s="50"/>
      <c r="O10" s="51"/>
      <c r="P10" s="51"/>
      <c r="Q10" s="51"/>
    </row>
    <row r="11" spans="1:24" s="41" customFormat="1" ht="28.5" customHeight="1">
      <c r="A11" s="45">
        <v>7</v>
      </c>
      <c r="B11" s="71" t="str">
        <f>+INDEX('Danh sách CBCNV'!B:B,MATCH(C11,'Danh sách CBCNV'!C:C,0))</f>
        <v>01228</v>
      </c>
      <c r="C11" s="47" t="s">
        <v>261</v>
      </c>
      <c r="D11" s="40">
        <v>46274</v>
      </c>
      <c r="E11" s="69" t="str">
        <f t="shared" si="1"/>
        <v>T4</v>
      </c>
      <c r="F11" s="44" t="s">
        <v>279</v>
      </c>
      <c r="G11" s="49">
        <v>17</v>
      </c>
      <c r="H11" s="49">
        <v>20</v>
      </c>
      <c r="I11" s="52">
        <f t="shared" si="10"/>
        <v>3</v>
      </c>
      <c r="J11" s="52" t="str">
        <f t="shared" si="0"/>
        <v/>
      </c>
      <c r="K11" s="52" t="str">
        <f t="shared" si="11"/>
        <v/>
      </c>
      <c r="L11" s="52" t="str">
        <f t="shared" si="12"/>
        <v/>
      </c>
      <c r="M11" s="52">
        <f t="shared" si="13"/>
        <v>3</v>
      </c>
      <c r="N11" s="50"/>
      <c r="O11" s="51"/>
      <c r="P11" s="51"/>
      <c r="Q11" s="51"/>
    </row>
    <row r="12" spans="1:24" s="41" customFormat="1" ht="28.5" customHeight="1">
      <c r="A12" s="45">
        <v>8</v>
      </c>
      <c r="B12" s="71" t="str">
        <f>+INDEX('Danh sách CBCNV'!B:B,MATCH(C12,'Danh sách CBCNV'!C:C,0))</f>
        <v>01215</v>
      </c>
      <c r="C12" s="47" t="s">
        <v>260</v>
      </c>
      <c r="D12" s="40">
        <v>46275</v>
      </c>
      <c r="E12" s="69" t="str">
        <f t="shared" si="1"/>
        <v>T5</v>
      </c>
      <c r="F12" s="44" t="s">
        <v>278</v>
      </c>
      <c r="G12" s="49">
        <v>17</v>
      </c>
      <c r="H12" s="49">
        <v>20</v>
      </c>
      <c r="I12" s="52">
        <f t="shared" si="10"/>
        <v>3</v>
      </c>
      <c r="J12" s="52" t="str">
        <f t="shared" si="0"/>
        <v/>
      </c>
      <c r="K12" s="52" t="str">
        <f t="shared" si="11"/>
        <v/>
      </c>
      <c r="L12" s="52" t="str">
        <f t="shared" si="12"/>
        <v/>
      </c>
      <c r="M12" s="52">
        <f t="shared" si="13"/>
        <v>3</v>
      </c>
      <c r="N12" s="50"/>
      <c r="O12" s="51"/>
      <c r="P12" s="51"/>
      <c r="Q12" s="51"/>
    </row>
    <row r="13" spans="1:24" s="41" customFormat="1" ht="28.5" customHeight="1">
      <c r="A13" s="45">
        <v>9</v>
      </c>
      <c r="B13" s="71" t="str">
        <f>+INDEX('Danh sách CBCNV'!B:B,MATCH(C13,'Danh sách CBCNV'!C:C,0))</f>
        <v>01228</v>
      </c>
      <c r="C13" s="47" t="s">
        <v>261</v>
      </c>
      <c r="D13" s="40">
        <v>46275</v>
      </c>
      <c r="E13" s="69" t="str">
        <f t="shared" si="1"/>
        <v>T5</v>
      </c>
      <c r="F13" s="44" t="s">
        <v>280</v>
      </c>
      <c r="G13" s="49">
        <v>17</v>
      </c>
      <c r="H13" s="49">
        <v>20</v>
      </c>
      <c r="I13" s="52">
        <f t="shared" si="10"/>
        <v>3</v>
      </c>
      <c r="J13" s="52" t="str">
        <f t="shared" si="0"/>
        <v/>
      </c>
      <c r="K13" s="52" t="str">
        <f t="shared" si="11"/>
        <v/>
      </c>
      <c r="L13" s="52" t="str">
        <f t="shared" si="12"/>
        <v/>
      </c>
      <c r="M13" s="52">
        <f t="shared" si="13"/>
        <v>3</v>
      </c>
      <c r="N13" s="50"/>
      <c r="O13" s="51"/>
      <c r="P13" s="51"/>
      <c r="Q13" s="51"/>
    </row>
    <row r="14" spans="1:24" s="41" customFormat="1" ht="28.5" customHeight="1">
      <c r="A14" s="45">
        <v>10</v>
      </c>
      <c r="B14" s="71" t="str">
        <f>+INDEX('Danh sách CBCNV'!B:B,MATCH(C14,'Danh sách CBCNV'!C:C,0))</f>
        <v>01215</v>
      </c>
      <c r="C14" s="47" t="s">
        <v>260</v>
      </c>
      <c r="D14" s="40">
        <v>46276</v>
      </c>
      <c r="E14" s="69" t="str">
        <f t="shared" si="1"/>
        <v>T6</v>
      </c>
      <c r="F14" s="44" t="s">
        <v>278</v>
      </c>
      <c r="G14" s="49">
        <v>17</v>
      </c>
      <c r="H14" s="49">
        <v>20</v>
      </c>
      <c r="I14" s="52">
        <f t="shared" si="10"/>
        <v>3</v>
      </c>
      <c r="J14" s="52" t="str">
        <f t="shared" ref="J14:J72" si="14">IF(E14&lt;&gt;"CN","",IF(AND(H14&gt;12,H182526),(H14-G14)-1,IF(AND(E14="CN",H14&gt;=22),(22-G14-1),(H14-G14))))</f>
        <v/>
      </c>
      <c r="K14" s="52" t="str">
        <f t="shared" si="11"/>
        <v/>
      </c>
      <c r="L14" s="52" t="str">
        <f t="shared" si="12"/>
        <v/>
      </c>
      <c r="M14" s="52">
        <f t="shared" si="13"/>
        <v>3</v>
      </c>
      <c r="N14" s="50"/>
      <c r="O14" s="51"/>
      <c r="P14" s="51"/>
      <c r="Q14" s="51"/>
    </row>
    <row r="15" spans="1:24" s="42" customFormat="1" ht="28.5" customHeight="1">
      <c r="A15" s="45">
        <v>11</v>
      </c>
      <c r="B15" s="71" t="str">
        <f>+INDEX('Danh sách CBCNV'!B:B,MATCH(C15,'Danh sách CBCNV'!C:C,0))</f>
        <v>01228</v>
      </c>
      <c r="C15" s="47" t="s">
        <v>261</v>
      </c>
      <c r="D15" s="40">
        <v>46276</v>
      </c>
      <c r="E15" s="69" t="str">
        <f t="shared" si="1"/>
        <v>T6</v>
      </c>
      <c r="F15" s="44" t="s">
        <v>280</v>
      </c>
      <c r="G15" s="49">
        <v>17</v>
      </c>
      <c r="H15" s="49">
        <v>19</v>
      </c>
      <c r="I15" s="52">
        <f t="shared" si="10"/>
        <v>2</v>
      </c>
      <c r="J15" s="52" t="str">
        <f t="shared" si="14"/>
        <v/>
      </c>
      <c r="K15" s="52" t="str">
        <f t="shared" si="11"/>
        <v/>
      </c>
      <c r="L15" s="52" t="str">
        <f t="shared" si="12"/>
        <v/>
      </c>
      <c r="M15" s="52">
        <f t="shared" si="13"/>
        <v>2</v>
      </c>
      <c r="N15" s="50"/>
      <c r="O15" s="39"/>
      <c r="P15" s="39"/>
      <c r="Q15" s="39"/>
    </row>
    <row r="16" spans="1:24" s="42" customFormat="1" ht="22.15" hidden="1" customHeight="1">
      <c r="A16" s="45"/>
      <c r="B16" s="46" t="e">
        <f>+INDEX('Danh sách CBCNV'!B:B,MATCH(C16,'Danh sách CBCNV'!C:C,0))</f>
        <v>#N/A</v>
      </c>
      <c r="C16" s="54"/>
      <c r="D16" s="40"/>
      <c r="E16" s="48" t="str">
        <f>+IF(D16&lt;&gt;"",CHOOSE(WEEKDAY(D16),"CN","T2","T3","T4","T5","T6","T7"),"")</f>
        <v/>
      </c>
      <c r="F16" s="50"/>
      <c r="G16" s="49"/>
      <c r="H16" s="49"/>
      <c r="I16" s="52">
        <f t="shared" si="10"/>
        <v>0</v>
      </c>
      <c r="J16" s="52" t="str">
        <f t="shared" si="14"/>
        <v/>
      </c>
      <c r="K16" s="52" t="str">
        <f t="shared" si="11"/>
        <v/>
      </c>
      <c r="L16" s="52" t="str">
        <f t="shared" si="12"/>
        <v/>
      </c>
      <c r="M16" s="52">
        <f t="shared" si="13"/>
        <v>0</v>
      </c>
      <c r="N16" s="50"/>
      <c r="O16" s="39"/>
      <c r="P16" s="39"/>
      <c r="Q16" s="39"/>
    </row>
    <row r="17" spans="1:22" s="42" customFormat="1" ht="22.15" hidden="1" customHeight="1">
      <c r="A17" s="45"/>
      <c r="B17" s="46" t="e">
        <f>+INDEX('Danh sách CBCNV'!B:B,MATCH(C17,'Danh sách CBCNV'!C:C,0))</f>
        <v>#N/A</v>
      </c>
      <c r="C17" s="54"/>
      <c r="D17" s="40"/>
      <c r="E17" s="48" t="str">
        <f t="shared" ref="E17:E80" si="15">+IF(D17&lt;&gt;"",CHOOSE(WEEKDAY(D17),"CN","T2","T3","T4","T5","T6","T7"),"")</f>
        <v/>
      </c>
      <c r="F17" s="50"/>
      <c r="G17" s="49"/>
      <c r="H17" s="49"/>
      <c r="I17" s="52">
        <f t="shared" si="10"/>
        <v>0</v>
      </c>
      <c r="J17" s="52" t="str">
        <f t="shared" si="14"/>
        <v/>
      </c>
      <c r="K17" s="52" t="str">
        <f t="shared" si="11"/>
        <v/>
      </c>
      <c r="L17" s="52" t="str">
        <f t="shared" si="12"/>
        <v/>
      </c>
      <c r="M17" s="52">
        <f t="shared" si="13"/>
        <v>0</v>
      </c>
      <c r="N17" s="50"/>
      <c r="O17" s="39"/>
      <c r="P17" s="39"/>
      <c r="Q17" s="39"/>
      <c r="S17" s="42" t="s">
        <v>17</v>
      </c>
      <c r="T17" s="42" t="s">
        <v>18</v>
      </c>
      <c r="U17" s="42" t="s">
        <v>19</v>
      </c>
      <c r="V17" s="42" t="s">
        <v>20</v>
      </c>
    </row>
    <row r="18" spans="1:22" s="42" customFormat="1" ht="22.15" hidden="1" customHeight="1">
      <c r="A18" s="45"/>
      <c r="B18" s="46" t="e">
        <f>+INDEX('Danh sách CBCNV'!B:B,MATCH(C18,'Danh sách CBCNV'!C:C,0))</f>
        <v>#N/A</v>
      </c>
      <c r="C18" s="55"/>
      <c r="D18" s="40"/>
      <c r="E18" s="48" t="str">
        <f t="shared" si="15"/>
        <v/>
      </c>
      <c r="F18" s="50"/>
      <c r="G18" s="49"/>
      <c r="H18" s="49"/>
      <c r="I18" s="52">
        <f t="shared" si="10"/>
        <v>0</v>
      </c>
      <c r="J18" s="52" t="str">
        <f t="shared" si="14"/>
        <v/>
      </c>
      <c r="K18" s="52" t="str">
        <f t="shared" si="11"/>
        <v/>
      </c>
      <c r="L18" s="52" t="str">
        <f t="shared" si="12"/>
        <v/>
      </c>
      <c r="M18" s="52">
        <f t="shared" si="13"/>
        <v>0</v>
      </c>
      <c r="N18" s="50"/>
      <c r="O18" s="39"/>
      <c r="P18" s="39"/>
      <c r="Q18" s="39"/>
      <c r="S18" s="42" t="s">
        <v>21</v>
      </c>
      <c r="T18" s="42" t="s">
        <v>22</v>
      </c>
      <c r="U18" s="42" t="s">
        <v>23</v>
      </c>
      <c r="V18" s="42" t="s">
        <v>24</v>
      </c>
    </row>
    <row r="19" spans="1:22" s="42" customFormat="1" ht="22.15" hidden="1" customHeight="1">
      <c r="A19" s="45"/>
      <c r="B19" s="46" t="e">
        <f>+INDEX('Danh sách CBCNV'!B:B,MATCH(C19,'Danh sách CBCNV'!C:C,0))</f>
        <v>#N/A</v>
      </c>
      <c r="C19" s="56"/>
      <c r="D19" s="40"/>
      <c r="E19" s="48" t="str">
        <f t="shared" si="15"/>
        <v/>
      </c>
      <c r="F19" s="50"/>
      <c r="G19" s="49"/>
      <c r="H19" s="49"/>
      <c r="I19" s="52">
        <f t="shared" si="10"/>
        <v>0</v>
      </c>
      <c r="J19" s="52" t="str">
        <f t="shared" si="14"/>
        <v/>
      </c>
      <c r="K19" s="52" t="str">
        <f t="shared" si="11"/>
        <v/>
      </c>
      <c r="L19" s="52" t="str">
        <f t="shared" si="12"/>
        <v/>
      </c>
      <c r="M19" s="52">
        <f t="shared" si="13"/>
        <v>0</v>
      </c>
      <c r="N19" s="50"/>
      <c r="O19" s="39"/>
      <c r="P19" s="39"/>
      <c r="Q19" s="39"/>
    </row>
    <row r="20" spans="1:22" s="42" customFormat="1" ht="22.15" hidden="1" customHeight="1">
      <c r="A20" s="45"/>
      <c r="B20" s="46" t="e">
        <f>+INDEX('Danh sách CBCNV'!B:B,MATCH(C20,'Danh sách CBCNV'!C:C,0))</f>
        <v>#N/A</v>
      </c>
      <c r="C20" s="54"/>
      <c r="D20" s="40"/>
      <c r="E20" s="48" t="str">
        <f t="shared" si="15"/>
        <v/>
      </c>
      <c r="F20" s="50"/>
      <c r="G20" s="49"/>
      <c r="H20" s="49"/>
      <c r="I20" s="52">
        <f t="shared" si="10"/>
        <v>0</v>
      </c>
      <c r="J20" s="52" t="str">
        <f t="shared" si="14"/>
        <v/>
      </c>
      <c r="K20" s="52" t="str">
        <f t="shared" si="11"/>
        <v/>
      </c>
      <c r="L20" s="52" t="str">
        <f t="shared" si="12"/>
        <v/>
      </c>
      <c r="M20" s="52">
        <f t="shared" si="13"/>
        <v>0</v>
      </c>
      <c r="N20" s="50"/>
      <c r="O20" s="39"/>
      <c r="P20" s="39"/>
      <c r="Q20" s="39"/>
    </row>
    <row r="21" spans="1:22" s="42" customFormat="1" ht="22.15" hidden="1" customHeight="1">
      <c r="A21" s="45"/>
      <c r="B21" s="46" t="e">
        <f>+INDEX('Danh sách CBCNV'!B:B,MATCH(C21,'Danh sách CBCNV'!C:C,0))</f>
        <v>#N/A</v>
      </c>
      <c r="C21" s="57"/>
      <c r="D21" s="40"/>
      <c r="E21" s="48" t="str">
        <f t="shared" si="15"/>
        <v/>
      </c>
      <c r="F21" s="50"/>
      <c r="G21" s="49"/>
      <c r="H21" s="49"/>
      <c r="I21" s="52">
        <f t="shared" si="10"/>
        <v>0</v>
      </c>
      <c r="J21" s="52" t="str">
        <f t="shared" si="14"/>
        <v/>
      </c>
      <c r="K21" s="52" t="str">
        <f t="shared" si="11"/>
        <v/>
      </c>
      <c r="L21" s="52" t="str">
        <f t="shared" si="12"/>
        <v/>
      </c>
      <c r="M21" s="52">
        <f t="shared" si="13"/>
        <v>0</v>
      </c>
      <c r="N21" s="50"/>
      <c r="O21" s="39"/>
      <c r="P21" s="39"/>
      <c r="Q21" s="39"/>
    </row>
    <row r="22" spans="1:22" s="42" customFormat="1" ht="22.15" hidden="1" customHeight="1">
      <c r="A22" s="45"/>
      <c r="B22" s="46" t="e">
        <f>+INDEX('Danh sách CBCNV'!B:B,MATCH(C22,'Danh sách CBCNV'!C:C,0))</f>
        <v>#N/A</v>
      </c>
      <c r="C22" s="57"/>
      <c r="D22" s="40"/>
      <c r="E22" s="48" t="str">
        <f t="shared" si="15"/>
        <v/>
      </c>
      <c r="F22" s="50"/>
      <c r="G22" s="49"/>
      <c r="H22" s="49"/>
      <c r="I22" s="52">
        <f t="shared" si="10"/>
        <v>0</v>
      </c>
      <c r="J22" s="52" t="str">
        <f t="shared" si="14"/>
        <v/>
      </c>
      <c r="K22" s="52" t="str">
        <f t="shared" si="11"/>
        <v/>
      </c>
      <c r="L22" s="52" t="str">
        <f t="shared" si="12"/>
        <v/>
      </c>
      <c r="M22" s="52">
        <f t="shared" si="13"/>
        <v>0</v>
      </c>
      <c r="N22" s="50"/>
      <c r="O22" s="39"/>
      <c r="P22" s="39"/>
      <c r="Q22" s="39"/>
    </row>
    <row r="23" spans="1:22" s="42" customFormat="1" ht="22.15" hidden="1" customHeight="1">
      <c r="A23" s="45"/>
      <c r="B23" s="46" t="e">
        <f>+INDEX('Danh sách CBCNV'!B:B,MATCH(C23,'Danh sách CBCNV'!C:C,0))</f>
        <v>#N/A</v>
      </c>
      <c r="C23" s="55"/>
      <c r="D23" s="40"/>
      <c r="E23" s="48" t="str">
        <f t="shared" si="15"/>
        <v/>
      </c>
      <c r="F23" s="50"/>
      <c r="G23" s="49"/>
      <c r="H23" s="49"/>
      <c r="I23" s="52">
        <f t="shared" si="10"/>
        <v>0</v>
      </c>
      <c r="J23" s="52" t="str">
        <f t="shared" si="14"/>
        <v/>
      </c>
      <c r="K23" s="52" t="str">
        <f t="shared" si="11"/>
        <v/>
      </c>
      <c r="L23" s="52" t="str">
        <f t="shared" si="12"/>
        <v/>
      </c>
      <c r="M23" s="52">
        <f t="shared" si="13"/>
        <v>0</v>
      </c>
      <c r="N23" s="50"/>
      <c r="O23" s="39"/>
      <c r="P23" s="39"/>
      <c r="Q23" s="39"/>
    </row>
    <row r="24" spans="1:22" s="42" customFormat="1" ht="22.15" hidden="1" customHeight="1">
      <c r="A24" s="45"/>
      <c r="B24" s="46" t="e">
        <f>+INDEX('Danh sách CBCNV'!B:B,MATCH(C24,'Danh sách CBCNV'!C:C,0))</f>
        <v>#N/A</v>
      </c>
      <c r="C24" s="54"/>
      <c r="D24" s="40"/>
      <c r="E24" s="48" t="str">
        <f t="shared" si="15"/>
        <v/>
      </c>
      <c r="F24" s="50"/>
      <c r="G24" s="49"/>
      <c r="H24" s="49"/>
      <c r="I24" s="52">
        <f t="shared" si="10"/>
        <v>0</v>
      </c>
      <c r="J24" s="52" t="str">
        <f t="shared" si="14"/>
        <v/>
      </c>
      <c r="K24" s="52" t="str">
        <f t="shared" si="11"/>
        <v/>
      </c>
      <c r="L24" s="52" t="str">
        <f t="shared" si="12"/>
        <v/>
      </c>
      <c r="M24" s="52">
        <f t="shared" si="13"/>
        <v>0</v>
      </c>
      <c r="N24" s="50"/>
      <c r="O24" s="39"/>
      <c r="P24" s="39"/>
      <c r="Q24" s="39"/>
    </row>
    <row r="25" spans="1:22" s="42" customFormat="1" ht="22.15" hidden="1" customHeight="1">
      <c r="A25" s="45"/>
      <c r="B25" s="46" t="e">
        <f>+INDEX('Danh sách CBCNV'!B:B,MATCH(C25,'Danh sách CBCNV'!C:C,0))</f>
        <v>#N/A</v>
      </c>
      <c r="C25" s="54"/>
      <c r="D25" s="40"/>
      <c r="E25" s="48" t="str">
        <f t="shared" si="15"/>
        <v/>
      </c>
      <c r="F25" s="50"/>
      <c r="G25" s="49"/>
      <c r="H25" s="49"/>
      <c r="I25" s="52">
        <f t="shared" si="10"/>
        <v>0</v>
      </c>
      <c r="J25" s="52" t="str">
        <f t="shared" si="14"/>
        <v/>
      </c>
      <c r="K25" s="52" t="str">
        <f t="shared" si="11"/>
        <v/>
      </c>
      <c r="L25" s="52" t="str">
        <f t="shared" si="12"/>
        <v/>
      </c>
      <c r="M25" s="52">
        <f t="shared" si="13"/>
        <v>0</v>
      </c>
      <c r="N25" s="50"/>
      <c r="O25" s="39"/>
      <c r="P25" s="39"/>
      <c r="Q25" s="39"/>
    </row>
    <row r="26" spans="1:22" s="42" customFormat="1" ht="22.15" hidden="1" customHeight="1">
      <c r="A26" s="45"/>
      <c r="B26" s="46" t="e">
        <f>+INDEX('Danh sách CBCNV'!B:B,MATCH(C26,'Danh sách CBCNV'!C:C,0))</f>
        <v>#N/A</v>
      </c>
      <c r="C26" s="54"/>
      <c r="D26" s="40"/>
      <c r="E26" s="48" t="str">
        <f t="shared" si="15"/>
        <v/>
      </c>
      <c r="F26" s="50"/>
      <c r="G26" s="49"/>
      <c r="H26" s="49"/>
      <c r="I26" s="52">
        <f t="shared" si="10"/>
        <v>0</v>
      </c>
      <c r="J26" s="52" t="str">
        <f t="shared" si="14"/>
        <v/>
      </c>
      <c r="K26" s="52" t="str">
        <f t="shared" si="11"/>
        <v/>
      </c>
      <c r="L26" s="52" t="str">
        <f t="shared" si="12"/>
        <v/>
      </c>
      <c r="M26" s="52">
        <f t="shared" si="13"/>
        <v>0</v>
      </c>
      <c r="N26" s="50"/>
      <c r="O26" s="39"/>
      <c r="P26" s="39"/>
      <c r="Q26" s="39"/>
    </row>
    <row r="27" spans="1:22" s="42" customFormat="1" ht="22.15" hidden="1" customHeight="1">
      <c r="A27" s="45"/>
      <c r="B27" s="46" t="e">
        <f>+INDEX('Danh sách CBCNV'!B:B,MATCH(C27,'Danh sách CBCNV'!C:C,0))</f>
        <v>#N/A</v>
      </c>
      <c r="C27" s="56"/>
      <c r="D27" s="40"/>
      <c r="E27" s="48" t="str">
        <f t="shared" si="15"/>
        <v/>
      </c>
      <c r="F27" s="50"/>
      <c r="G27" s="49"/>
      <c r="H27" s="49"/>
      <c r="I27" s="52">
        <f t="shared" si="10"/>
        <v>0</v>
      </c>
      <c r="J27" s="52" t="str">
        <f t="shared" si="14"/>
        <v/>
      </c>
      <c r="K27" s="52" t="str">
        <f t="shared" si="11"/>
        <v/>
      </c>
      <c r="L27" s="52" t="str">
        <f t="shared" si="12"/>
        <v/>
      </c>
      <c r="M27" s="52">
        <f t="shared" si="13"/>
        <v>0</v>
      </c>
      <c r="N27" s="50"/>
      <c r="O27" s="39"/>
      <c r="P27" s="39"/>
      <c r="Q27" s="39"/>
    </row>
    <row r="28" spans="1:22" s="42" customFormat="1" ht="22.15" hidden="1" customHeight="1">
      <c r="A28" s="45"/>
      <c r="B28" s="46" t="e">
        <f>+INDEX('Danh sách CBCNV'!B:B,MATCH(C28,'Danh sách CBCNV'!C:C,0))</f>
        <v>#N/A</v>
      </c>
      <c r="C28" s="55"/>
      <c r="D28" s="40"/>
      <c r="E28" s="48" t="str">
        <f t="shared" si="15"/>
        <v/>
      </c>
      <c r="F28" s="50"/>
      <c r="G28" s="49"/>
      <c r="H28" s="49"/>
      <c r="I28" s="52">
        <f t="shared" si="10"/>
        <v>0</v>
      </c>
      <c r="J28" s="52" t="str">
        <f t="shared" si="14"/>
        <v/>
      </c>
      <c r="K28" s="52" t="str">
        <f t="shared" si="11"/>
        <v/>
      </c>
      <c r="L28" s="52" t="str">
        <f t="shared" si="12"/>
        <v/>
      </c>
      <c r="M28" s="52">
        <f t="shared" si="13"/>
        <v>0</v>
      </c>
      <c r="N28" s="50"/>
      <c r="O28" s="39"/>
      <c r="P28" s="39"/>
      <c r="Q28" s="39"/>
    </row>
    <row r="29" spans="1:22" s="42" customFormat="1" ht="22.15" hidden="1" customHeight="1">
      <c r="A29" s="45"/>
      <c r="B29" s="46" t="e">
        <f>+INDEX('Danh sách CBCNV'!B:B,MATCH(C29,'Danh sách CBCNV'!C:C,0))</f>
        <v>#N/A</v>
      </c>
      <c r="C29" s="56"/>
      <c r="D29" s="40"/>
      <c r="E29" s="48" t="str">
        <f t="shared" si="15"/>
        <v/>
      </c>
      <c r="F29" s="50"/>
      <c r="G29" s="49"/>
      <c r="H29" s="49"/>
      <c r="I29" s="52">
        <f t="shared" si="10"/>
        <v>0</v>
      </c>
      <c r="J29" s="52" t="str">
        <f t="shared" si="14"/>
        <v/>
      </c>
      <c r="K29" s="52" t="str">
        <f t="shared" si="11"/>
        <v/>
      </c>
      <c r="L29" s="52" t="str">
        <f t="shared" si="12"/>
        <v/>
      </c>
      <c r="M29" s="52">
        <f t="shared" si="13"/>
        <v>0</v>
      </c>
      <c r="N29" s="50"/>
      <c r="O29" s="39"/>
      <c r="P29" s="39"/>
      <c r="Q29" s="39"/>
    </row>
    <row r="30" spans="1:22" s="42" customFormat="1" ht="22.15" hidden="1" customHeight="1">
      <c r="A30" s="45"/>
      <c r="B30" s="46" t="e">
        <f>+INDEX('Danh sách CBCNV'!B:B,MATCH(C30,'Danh sách CBCNV'!C:C,0))</f>
        <v>#N/A</v>
      </c>
      <c r="C30" s="54"/>
      <c r="D30" s="40"/>
      <c r="E30" s="48" t="str">
        <f t="shared" si="15"/>
        <v/>
      </c>
      <c r="F30" s="50"/>
      <c r="G30" s="49"/>
      <c r="H30" s="49"/>
      <c r="I30" s="52">
        <f t="shared" si="10"/>
        <v>0</v>
      </c>
      <c r="J30" s="52" t="str">
        <f t="shared" si="14"/>
        <v/>
      </c>
      <c r="K30" s="52" t="str">
        <f t="shared" si="11"/>
        <v/>
      </c>
      <c r="L30" s="52" t="str">
        <f t="shared" si="12"/>
        <v/>
      </c>
      <c r="M30" s="52">
        <f t="shared" si="13"/>
        <v>0</v>
      </c>
      <c r="N30" s="50"/>
      <c r="O30" s="39"/>
      <c r="P30" s="39"/>
      <c r="Q30" s="39"/>
    </row>
    <row r="31" spans="1:22" s="42" customFormat="1" ht="22.15" hidden="1" customHeight="1">
      <c r="A31" s="45"/>
      <c r="B31" s="46" t="e">
        <f>+INDEX('Danh sách CBCNV'!B:B,MATCH(C31,'Danh sách CBCNV'!C:C,0))</f>
        <v>#N/A</v>
      </c>
      <c r="C31" s="54"/>
      <c r="D31" s="40"/>
      <c r="E31" s="48" t="str">
        <f t="shared" si="15"/>
        <v/>
      </c>
      <c r="F31" s="50"/>
      <c r="G31" s="49"/>
      <c r="H31" s="49"/>
      <c r="I31" s="52">
        <f t="shared" si="10"/>
        <v>0</v>
      </c>
      <c r="J31" s="52" t="str">
        <f t="shared" si="14"/>
        <v/>
      </c>
      <c r="K31" s="52" t="str">
        <f t="shared" si="11"/>
        <v/>
      </c>
      <c r="L31" s="52" t="str">
        <f t="shared" si="12"/>
        <v/>
      </c>
      <c r="M31" s="52">
        <f t="shared" si="13"/>
        <v>0</v>
      </c>
      <c r="N31" s="50"/>
      <c r="O31" s="39"/>
      <c r="P31" s="39"/>
      <c r="Q31" s="39"/>
    </row>
    <row r="32" spans="1:22" s="42" customFormat="1" ht="22.15" hidden="1" customHeight="1">
      <c r="A32" s="45"/>
      <c r="B32" s="46" t="e">
        <f>+INDEX('Danh sách CBCNV'!B:B,MATCH(C32,'Danh sách CBCNV'!C:C,0))</f>
        <v>#N/A</v>
      </c>
      <c r="C32" s="55"/>
      <c r="D32" s="40"/>
      <c r="E32" s="48" t="str">
        <f t="shared" si="15"/>
        <v/>
      </c>
      <c r="F32" s="50"/>
      <c r="G32" s="49"/>
      <c r="H32" s="49"/>
      <c r="I32" s="52">
        <f t="shared" si="10"/>
        <v>0</v>
      </c>
      <c r="J32" s="52" t="str">
        <f t="shared" si="14"/>
        <v/>
      </c>
      <c r="K32" s="52" t="str">
        <f t="shared" si="11"/>
        <v/>
      </c>
      <c r="L32" s="52" t="str">
        <f t="shared" si="12"/>
        <v/>
      </c>
      <c r="M32" s="52">
        <f t="shared" si="13"/>
        <v>0</v>
      </c>
      <c r="N32" s="50"/>
      <c r="O32" s="39"/>
      <c r="P32" s="39"/>
      <c r="Q32" s="39"/>
    </row>
    <row r="33" spans="1:17" s="42" customFormat="1" ht="22.15" hidden="1" customHeight="1">
      <c r="A33" s="45"/>
      <c r="B33" s="46" t="e">
        <f>+INDEX('Danh sách CBCNV'!B:B,MATCH(C33,'Danh sách CBCNV'!C:C,0))</f>
        <v>#N/A</v>
      </c>
      <c r="C33" s="57"/>
      <c r="D33" s="40"/>
      <c r="E33" s="48" t="str">
        <f t="shared" si="15"/>
        <v/>
      </c>
      <c r="F33" s="50"/>
      <c r="G33" s="49"/>
      <c r="H33" s="49"/>
      <c r="I33" s="52">
        <f t="shared" si="10"/>
        <v>0</v>
      </c>
      <c r="J33" s="52" t="str">
        <f t="shared" si="14"/>
        <v/>
      </c>
      <c r="K33" s="52" t="str">
        <f t="shared" si="11"/>
        <v/>
      </c>
      <c r="L33" s="52" t="str">
        <f t="shared" si="12"/>
        <v/>
      </c>
      <c r="M33" s="52">
        <f t="shared" si="13"/>
        <v>0</v>
      </c>
      <c r="N33" s="50"/>
      <c r="O33" s="39"/>
      <c r="P33" s="39"/>
      <c r="Q33" s="39"/>
    </row>
    <row r="34" spans="1:17" s="42" customFormat="1" ht="22.15" hidden="1" customHeight="1">
      <c r="A34" s="45"/>
      <c r="B34" s="46" t="e">
        <f>+INDEX('Danh sách CBCNV'!B:B,MATCH(C34,'Danh sách CBCNV'!C:C,0))</f>
        <v>#N/A</v>
      </c>
      <c r="C34" s="54"/>
      <c r="D34" s="40"/>
      <c r="E34" s="48" t="str">
        <f t="shared" si="15"/>
        <v/>
      </c>
      <c r="F34" s="50"/>
      <c r="G34" s="49"/>
      <c r="H34" s="49"/>
      <c r="I34" s="52">
        <f t="shared" si="10"/>
        <v>0</v>
      </c>
      <c r="J34" s="52" t="str">
        <f t="shared" si="14"/>
        <v/>
      </c>
      <c r="K34" s="52" t="str">
        <f t="shared" si="11"/>
        <v/>
      </c>
      <c r="L34" s="52" t="str">
        <f t="shared" si="12"/>
        <v/>
      </c>
      <c r="M34" s="52">
        <f t="shared" si="13"/>
        <v>0</v>
      </c>
      <c r="N34" s="50"/>
      <c r="O34" s="39"/>
      <c r="P34" s="39"/>
      <c r="Q34" s="39"/>
    </row>
    <row r="35" spans="1:17" s="42" customFormat="1" ht="22.15" hidden="1" customHeight="1">
      <c r="A35" s="45"/>
      <c r="B35" s="46" t="e">
        <f>+INDEX('Danh sách CBCNV'!B:B,MATCH(C35,'Danh sách CBCNV'!C:C,0))</f>
        <v>#N/A</v>
      </c>
      <c r="C35" s="54"/>
      <c r="D35" s="40"/>
      <c r="E35" s="48" t="str">
        <f t="shared" si="15"/>
        <v/>
      </c>
      <c r="F35" s="50"/>
      <c r="G35" s="49"/>
      <c r="H35" s="49"/>
      <c r="I35" s="52">
        <f t="shared" si="10"/>
        <v>0</v>
      </c>
      <c r="J35" s="52" t="str">
        <f t="shared" si="14"/>
        <v/>
      </c>
      <c r="K35" s="52" t="str">
        <f t="shared" si="11"/>
        <v/>
      </c>
      <c r="L35" s="52" t="str">
        <f t="shared" si="12"/>
        <v/>
      </c>
      <c r="M35" s="52">
        <f t="shared" si="13"/>
        <v>0</v>
      </c>
      <c r="N35" s="50"/>
      <c r="O35" s="39"/>
      <c r="P35" s="39"/>
      <c r="Q35" s="39"/>
    </row>
    <row r="36" spans="1:17" s="42" customFormat="1" ht="22.15" hidden="1" customHeight="1">
      <c r="A36" s="45"/>
      <c r="B36" s="46" t="e">
        <f>+INDEX('Danh sách CBCNV'!B:B,MATCH(C36,'Danh sách CBCNV'!C:C,0))</f>
        <v>#N/A</v>
      </c>
      <c r="C36" s="54"/>
      <c r="D36" s="40"/>
      <c r="E36" s="48" t="str">
        <f t="shared" si="15"/>
        <v/>
      </c>
      <c r="F36" s="50"/>
      <c r="G36" s="49"/>
      <c r="H36" s="49"/>
      <c r="I36" s="52">
        <f t="shared" si="10"/>
        <v>0</v>
      </c>
      <c r="J36" s="52" t="str">
        <f t="shared" si="14"/>
        <v/>
      </c>
      <c r="K36" s="52" t="str">
        <f t="shared" si="11"/>
        <v/>
      </c>
      <c r="L36" s="52" t="str">
        <f t="shared" si="12"/>
        <v/>
      </c>
      <c r="M36" s="52">
        <f t="shared" si="13"/>
        <v>0</v>
      </c>
      <c r="N36" s="50"/>
      <c r="O36" s="39"/>
      <c r="P36" s="39"/>
      <c r="Q36" s="39"/>
    </row>
    <row r="37" spans="1:17" s="42" customFormat="1" ht="22.15" hidden="1" customHeight="1">
      <c r="A37" s="45"/>
      <c r="B37" s="46" t="e">
        <f>+INDEX('Danh sách CBCNV'!B:B,MATCH(C37,'Danh sách CBCNV'!C:C,0))</f>
        <v>#N/A</v>
      </c>
      <c r="C37" s="54"/>
      <c r="D37" s="40"/>
      <c r="E37" s="48" t="str">
        <f t="shared" si="15"/>
        <v/>
      </c>
      <c r="F37" s="50"/>
      <c r="G37" s="49"/>
      <c r="H37" s="49"/>
      <c r="I37" s="52">
        <f t="shared" si="10"/>
        <v>0</v>
      </c>
      <c r="J37" s="52" t="str">
        <f t="shared" si="14"/>
        <v/>
      </c>
      <c r="K37" s="52" t="str">
        <f t="shared" si="11"/>
        <v/>
      </c>
      <c r="L37" s="52" t="str">
        <f t="shared" si="12"/>
        <v/>
      </c>
      <c r="M37" s="52">
        <f t="shared" si="13"/>
        <v>0</v>
      </c>
      <c r="N37" s="50"/>
      <c r="O37" s="39"/>
      <c r="P37" s="39"/>
      <c r="Q37" s="39"/>
    </row>
    <row r="38" spans="1:17" s="42" customFormat="1" ht="22.15" hidden="1" customHeight="1">
      <c r="A38" s="45"/>
      <c r="B38" s="46" t="e">
        <f>+INDEX('Danh sách CBCNV'!B:B,MATCH(C38,'Danh sách CBCNV'!C:C,0))</f>
        <v>#N/A</v>
      </c>
      <c r="C38" s="54"/>
      <c r="D38" s="40"/>
      <c r="E38" s="48" t="str">
        <f t="shared" si="15"/>
        <v/>
      </c>
      <c r="F38" s="50"/>
      <c r="G38" s="49"/>
      <c r="H38" s="49"/>
      <c r="I38" s="52">
        <f t="shared" si="10"/>
        <v>0</v>
      </c>
      <c r="J38" s="52" t="str">
        <f t="shared" si="14"/>
        <v/>
      </c>
      <c r="K38" s="52" t="str">
        <f t="shared" si="11"/>
        <v/>
      </c>
      <c r="L38" s="52" t="str">
        <f t="shared" si="12"/>
        <v/>
      </c>
      <c r="M38" s="52">
        <f t="shared" si="13"/>
        <v>0</v>
      </c>
      <c r="N38" s="50"/>
      <c r="O38" s="39"/>
      <c r="P38" s="39"/>
      <c r="Q38" s="39"/>
    </row>
    <row r="39" spans="1:17" s="42" customFormat="1" ht="22.15" hidden="1" customHeight="1">
      <c r="A39" s="45"/>
      <c r="B39" s="46" t="e">
        <f>+INDEX('Danh sách CBCNV'!B:B,MATCH(C39,'Danh sách CBCNV'!C:C,0))</f>
        <v>#N/A</v>
      </c>
      <c r="C39" s="54"/>
      <c r="D39" s="40"/>
      <c r="E39" s="48" t="str">
        <f t="shared" si="15"/>
        <v/>
      </c>
      <c r="F39" s="50"/>
      <c r="G39" s="49"/>
      <c r="H39" s="49"/>
      <c r="I39" s="52">
        <f t="shared" si="10"/>
        <v>0</v>
      </c>
      <c r="J39" s="52" t="str">
        <f t="shared" si="14"/>
        <v/>
      </c>
      <c r="K39" s="52" t="str">
        <f t="shared" si="11"/>
        <v/>
      </c>
      <c r="L39" s="52" t="str">
        <f t="shared" si="12"/>
        <v/>
      </c>
      <c r="M39" s="52">
        <f t="shared" si="13"/>
        <v>0</v>
      </c>
      <c r="N39" s="50"/>
      <c r="O39" s="39"/>
      <c r="P39" s="39"/>
      <c r="Q39" s="39"/>
    </row>
    <row r="40" spans="1:17" s="42" customFormat="1" ht="22.15" hidden="1" customHeight="1">
      <c r="A40" s="45"/>
      <c r="B40" s="46" t="e">
        <f>+INDEX('Danh sách CBCNV'!B:B,MATCH(C40,'Danh sách CBCNV'!C:C,0))</f>
        <v>#N/A</v>
      </c>
      <c r="C40" s="54"/>
      <c r="D40" s="40"/>
      <c r="E40" s="48" t="str">
        <f t="shared" si="15"/>
        <v/>
      </c>
      <c r="F40" s="50"/>
      <c r="G40" s="49"/>
      <c r="H40" s="49"/>
      <c r="I40" s="52">
        <f t="shared" si="10"/>
        <v>0</v>
      </c>
      <c r="J40" s="52" t="str">
        <f t="shared" si="14"/>
        <v/>
      </c>
      <c r="K40" s="52" t="str">
        <f t="shared" si="11"/>
        <v/>
      </c>
      <c r="L40" s="52" t="str">
        <f t="shared" si="12"/>
        <v/>
      </c>
      <c r="M40" s="52">
        <f t="shared" si="13"/>
        <v>0</v>
      </c>
      <c r="N40" s="50"/>
      <c r="O40" s="39"/>
      <c r="P40" s="39"/>
      <c r="Q40" s="39"/>
    </row>
    <row r="41" spans="1:17" s="42" customFormat="1" ht="22.15" hidden="1" customHeight="1">
      <c r="A41" s="45"/>
      <c r="B41" s="46" t="e">
        <f>+INDEX('Danh sách CBCNV'!B:B,MATCH(C41,'Danh sách CBCNV'!C:C,0))</f>
        <v>#N/A</v>
      </c>
      <c r="C41" s="54"/>
      <c r="D41" s="40"/>
      <c r="E41" s="48" t="str">
        <f t="shared" si="15"/>
        <v/>
      </c>
      <c r="F41" s="50"/>
      <c r="G41" s="49"/>
      <c r="H41" s="49"/>
      <c r="I41" s="52">
        <f t="shared" si="10"/>
        <v>0</v>
      </c>
      <c r="J41" s="52" t="str">
        <f t="shared" si="14"/>
        <v/>
      </c>
      <c r="K41" s="52" t="str">
        <f t="shared" si="11"/>
        <v/>
      </c>
      <c r="L41" s="52" t="str">
        <f t="shared" si="12"/>
        <v/>
      </c>
      <c r="M41" s="52">
        <f t="shared" si="13"/>
        <v>0</v>
      </c>
      <c r="N41" s="50"/>
      <c r="O41" s="39"/>
      <c r="P41" s="39"/>
      <c r="Q41" s="39"/>
    </row>
    <row r="42" spans="1:17" s="42" customFormat="1" ht="22.15" hidden="1" customHeight="1">
      <c r="A42" s="45"/>
      <c r="B42" s="46" t="e">
        <f>+INDEX('Danh sách CBCNV'!B:B,MATCH(C42,'Danh sách CBCNV'!C:C,0))</f>
        <v>#N/A</v>
      </c>
      <c r="C42" s="56"/>
      <c r="D42" s="40"/>
      <c r="E42" s="48" t="str">
        <f t="shared" si="15"/>
        <v/>
      </c>
      <c r="F42" s="50"/>
      <c r="G42" s="49"/>
      <c r="H42" s="49"/>
      <c r="I42" s="52">
        <f t="shared" si="10"/>
        <v>0</v>
      </c>
      <c r="J42" s="52" t="str">
        <f t="shared" si="14"/>
        <v/>
      </c>
      <c r="K42" s="52" t="str">
        <f t="shared" si="11"/>
        <v/>
      </c>
      <c r="L42" s="52" t="str">
        <f t="shared" si="12"/>
        <v/>
      </c>
      <c r="M42" s="52">
        <f t="shared" si="13"/>
        <v>0</v>
      </c>
      <c r="N42" s="50"/>
      <c r="O42" s="39"/>
      <c r="P42" s="39"/>
      <c r="Q42" s="39"/>
    </row>
    <row r="43" spans="1:17" s="42" customFormat="1" ht="22.15" hidden="1" customHeight="1">
      <c r="A43" s="45"/>
      <c r="B43" s="46" t="e">
        <f>+INDEX('Danh sách CBCNV'!B:B,MATCH(C43,'Danh sách CBCNV'!C:C,0))</f>
        <v>#N/A</v>
      </c>
      <c r="C43" s="55"/>
      <c r="D43" s="40"/>
      <c r="E43" s="48" t="str">
        <f t="shared" si="15"/>
        <v/>
      </c>
      <c r="F43" s="50"/>
      <c r="G43" s="49"/>
      <c r="H43" s="49"/>
      <c r="I43" s="52">
        <f t="shared" si="10"/>
        <v>0</v>
      </c>
      <c r="J43" s="52" t="str">
        <f t="shared" si="14"/>
        <v/>
      </c>
      <c r="K43" s="52" t="str">
        <f t="shared" si="11"/>
        <v/>
      </c>
      <c r="L43" s="52" t="str">
        <f t="shared" si="12"/>
        <v/>
      </c>
      <c r="M43" s="52">
        <f t="shared" si="13"/>
        <v>0</v>
      </c>
      <c r="N43" s="50"/>
      <c r="O43" s="39"/>
      <c r="P43" s="39"/>
      <c r="Q43" s="39"/>
    </row>
    <row r="44" spans="1:17" s="42" customFormat="1" ht="22.15" hidden="1" customHeight="1">
      <c r="A44" s="45"/>
      <c r="B44" s="46" t="e">
        <f>+INDEX('Danh sách CBCNV'!B:B,MATCH(C44,'Danh sách CBCNV'!C:C,0))</f>
        <v>#N/A</v>
      </c>
      <c r="C44" s="56"/>
      <c r="D44" s="40"/>
      <c r="E44" s="48" t="str">
        <f t="shared" si="15"/>
        <v/>
      </c>
      <c r="F44" s="50"/>
      <c r="G44" s="49"/>
      <c r="H44" s="49"/>
      <c r="I44" s="52">
        <f t="shared" si="10"/>
        <v>0</v>
      </c>
      <c r="J44" s="52" t="str">
        <f t="shared" si="14"/>
        <v/>
      </c>
      <c r="K44" s="52" t="str">
        <f t="shared" si="11"/>
        <v/>
      </c>
      <c r="L44" s="52" t="str">
        <f t="shared" si="12"/>
        <v/>
      </c>
      <c r="M44" s="52">
        <f t="shared" si="13"/>
        <v>0</v>
      </c>
      <c r="N44" s="50"/>
      <c r="O44" s="39"/>
      <c r="P44" s="39"/>
      <c r="Q44" s="39"/>
    </row>
    <row r="45" spans="1:17" s="42" customFormat="1" ht="22.15" hidden="1" customHeight="1">
      <c r="A45" s="45"/>
      <c r="B45" s="46" t="e">
        <f>+INDEX('Danh sách CBCNV'!B:B,MATCH(C45,'Danh sách CBCNV'!C:C,0))</f>
        <v>#N/A</v>
      </c>
      <c r="C45" s="54"/>
      <c r="D45" s="40"/>
      <c r="E45" s="48" t="str">
        <f t="shared" si="15"/>
        <v/>
      </c>
      <c r="F45" s="50"/>
      <c r="G45" s="49"/>
      <c r="H45" s="49"/>
      <c r="I45" s="52">
        <f t="shared" si="10"/>
        <v>0</v>
      </c>
      <c r="J45" s="52" t="str">
        <f t="shared" si="14"/>
        <v/>
      </c>
      <c r="K45" s="52" t="str">
        <f t="shared" si="11"/>
        <v/>
      </c>
      <c r="L45" s="52" t="str">
        <f t="shared" si="12"/>
        <v/>
      </c>
      <c r="M45" s="52">
        <f t="shared" si="13"/>
        <v>0</v>
      </c>
      <c r="N45" s="50"/>
      <c r="O45" s="39"/>
      <c r="P45" s="39"/>
      <c r="Q45" s="39"/>
    </row>
    <row r="46" spans="1:17" s="42" customFormat="1" ht="22.15" hidden="1" customHeight="1">
      <c r="A46" s="45"/>
      <c r="B46" s="46" t="e">
        <f>+INDEX('Danh sách CBCNV'!B:B,MATCH(C46,'Danh sách CBCNV'!C:C,0))</f>
        <v>#N/A</v>
      </c>
      <c r="C46" s="54"/>
      <c r="D46" s="40"/>
      <c r="E46" s="48" t="str">
        <f t="shared" si="15"/>
        <v/>
      </c>
      <c r="F46" s="50"/>
      <c r="G46" s="49"/>
      <c r="H46" s="49"/>
      <c r="I46" s="52">
        <f t="shared" si="10"/>
        <v>0</v>
      </c>
      <c r="J46" s="52" t="str">
        <f t="shared" si="14"/>
        <v/>
      </c>
      <c r="K46" s="52" t="str">
        <f t="shared" si="11"/>
        <v/>
      </c>
      <c r="L46" s="52" t="str">
        <f t="shared" si="12"/>
        <v/>
      </c>
      <c r="M46" s="52">
        <f t="shared" si="13"/>
        <v>0</v>
      </c>
      <c r="N46" s="50"/>
      <c r="O46" s="39"/>
      <c r="P46" s="39"/>
      <c r="Q46" s="39"/>
    </row>
    <row r="47" spans="1:17" s="42" customFormat="1" ht="22.15" hidden="1" customHeight="1">
      <c r="A47" s="45"/>
      <c r="B47" s="46" t="e">
        <f>+INDEX('Danh sách CBCNV'!B:B,MATCH(C47,'Danh sách CBCNV'!C:C,0))</f>
        <v>#N/A</v>
      </c>
      <c r="C47" s="58"/>
      <c r="D47" s="40"/>
      <c r="E47" s="48" t="str">
        <f t="shared" si="15"/>
        <v/>
      </c>
      <c r="F47" s="50"/>
      <c r="G47" s="49"/>
      <c r="H47" s="49"/>
      <c r="I47" s="52">
        <f t="shared" si="10"/>
        <v>0</v>
      </c>
      <c r="J47" s="52" t="str">
        <f t="shared" si="14"/>
        <v/>
      </c>
      <c r="K47" s="52" t="str">
        <f t="shared" si="11"/>
        <v/>
      </c>
      <c r="L47" s="52" t="str">
        <f t="shared" si="12"/>
        <v/>
      </c>
      <c r="M47" s="52">
        <f t="shared" si="13"/>
        <v>0</v>
      </c>
      <c r="N47" s="50"/>
      <c r="O47" s="39"/>
      <c r="P47" s="39"/>
      <c r="Q47" s="39"/>
    </row>
    <row r="48" spans="1:17" s="42" customFormat="1" ht="22.15" hidden="1" customHeight="1">
      <c r="A48" s="45"/>
      <c r="B48" s="46" t="e">
        <f>+INDEX('Danh sách CBCNV'!B:B,MATCH(C48,'Danh sách CBCNV'!C:C,0))</f>
        <v>#N/A</v>
      </c>
      <c r="C48" s="57"/>
      <c r="D48" s="40"/>
      <c r="E48" s="48" t="str">
        <f t="shared" si="15"/>
        <v/>
      </c>
      <c r="F48" s="50"/>
      <c r="G48" s="49"/>
      <c r="H48" s="49"/>
      <c r="I48" s="52">
        <f t="shared" si="10"/>
        <v>0</v>
      </c>
      <c r="J48" s="52" t="str">
        <f t="shared" si="14"/>
        <v/>
      </c>
      <c r="K48" s="52" t="str">
        <f t="shared" si="11"/>
        <v/>
      </c>
      <c r="L48" s="52" t="str">
        <f t="shared" si="12"/>
        <v/>
      </c>
      <c r="M48" s="52">
        <f t="shared" si="13"/>
        <v>0</v>
      </c>
      <c r="N48" s="50"/>
      <c r="O48" s="39"/>
      <c r="P48" s="39"/>
      <c r="Q48" s="39"/>
    </row>
    <row r="49" spans="1:17" s="42" customFormat="1" ht="22.15" hidden="1" customHeight="1">
      <c r="A49" s="45"/>
      <c r="B49" s="46" t="e">
        <f>+INDEX('Danh sách CBCNV'!B:B,MATCH(C49,'Danh sách CBCNV'!C:C,0))</f>
        <v>#N/A</v>
      </c>
      <c r="C49" s="54"/>
      <c r="D49" s="40"/>
      <c r="E49" s="48" t="str">
        <f t="shared" si="15"/>
        <v/>
      </c>
      <c r="F49" s="50"/>
      <c r="G49" s="49"/>
      <c r="H49" s="49"/>
      <c r="I49" s="52">
        <f t="shared" si="10"/>
        <v>0</v>
      </c>
      <c r="J49" s="52" t="str">
        <f t="shared" si="14"/>
        <v/>
      </c>
      <c r="K49" s="52" t="str">
        <f t="shared" si="11"/>
        <v/>
      </c>
      <c r="L49" s="52" t="str">
        <f t="shared" si="12"/>
        <v/>
      </c>
      <c r="M49" s="52">
        <f t="shared" si="13"/>
        <v>0</v>
      </c>
      <c r="N49" s="50"/>
      <c r="O49" s="39"/>
      <c r="P49" s="39"/>
      <c r="Q49" s="39"/>
    </row>
    <row r="50" spans="1:17" s="42" customFormat="1" ht="22.15" hidden="1" customHeight="1">
      <c r="A50" s="45"/>
      <c r="B50" s="46" t="e">
        <f>+INDEX('Danh sách CBCNV'!B:B,MATCH(C50,'Danh sách CBCNV'!C:C,0))</f>
        <v>#N/A</v>
      </c>
      <c r="C50" s="54"/>
      <c r="D50" s="40"/>
      <c r="E50" s="48" t="str">
        <f t="shared" si="15"/>
        <v/>
      </c>
      <c r="F50" s="50"/>
      <c r="G50" s="49"/>
      <c r="H50" s="49"/>
      <c r="I50" s="52">
        <f t="shared" si="10"/>
        <v>0</v>
      </c>
      <c r="J50" s="52" t="str">
        <f t="shared" si="14"/>
        <v/>
      </c>
      <c r="K50" s="52" t="str">
        <f t="shared" si="11"/>
        <v/>
      </c>
      <c r="L50" s="52" t="str">
        <f t="shared" si="12"/>
        <v/>
      </c>
      <c r="M50" s="52">
        <f t="shared" si="13"/>
        <v>0</v>
      </c>
      <c r="N50" s="50"/>
      <c r="O50" s="39"/>
      <c r="P50" s="39"/>
      <c r="Q50" s="39"/>
    </row>
    <row r="51" spans="1:17" s="42" customFormat="1" ht="22.15" hidden="1" customHeight="1">
      <c r="A51" s="45"/>
      <c r="B51" s="46" t="e">
        <f>+INDEX('Danh sách CBCNV'!B:B,MATCH(C51,'Danh sách CBCNV'!C:C,0))</f>
        <v>#N/A</v>
      </c>
      <c r="C51" s="54"/>
      <c r="D51" s="40"/>
      <c r="E51" s="48" t="str">
        <f t="shared" si="15"/>
        <v/>
      </c>
      <c r="F51" s="50"/>
      <c r="G51" s="49"/>
      <c r="H51" s="49"/>
      <c r="I51" s="52">
        <f t="shared" si="10"/>
        <v>0</v>
      </c>
      <c r="J51" s="52" t="str">
        <f t="shared" si="14"/>
        <v/>
      </c>
      <c r="K51" s="52" t="str">
        <f t="shared" si="11"/>
        <v/>
      </c>
      <c r="L51" s="52" t="str">
        <f t="shared" si="12"/>
        <v/>
      </c>
      <c r="M51" s="52">
        <f t="shared" si="13"/>
        <v>0</v>
      </c>
      <c r="N51" s="50"/>
      <c r="O51" s="39"/>
      <c r="P51" s="39"/>
      <c r="Q51" s="39"/>
    </row>
    <row r="52" spans="1:17" s="42" customFormat="1" ht="22.15" hidden="1" customHeight="1">
      <c r="A52" s="45"/>
      <c r="B52" s="46" t="e">
        <f>+INDEX('Danh sách CBCNV'!B:B,MATCH(C52,'Danh sách CBCNV'!C:C,0))</f>
        <v>#N/A</v>
      </c>
      <c r="C52" s="54"/>
      <c r="D52" s="40"/>
      <c r="E52" s="48" t="str">
        <f t="shared" si="15"/>
        <v/>
      </c>
      <c r="F52" s="50"/>
      <c r="G52" s="49"/>
      <c r="H52" s="49"/>
      <c r="I52" s="52">
        <f t="shared" si="10"/>
        <v>0</v>
      </c>
      <c r="J52" s="52" t="str">
        <f t="shared" si="14"/>
        <v/>
      </c>
      <c r="K52" s="52" t="str">
        <f t="shared" si="11"/>
        <v/>
      </c>
      <c r="L52" s="52" t="str">
        <f t="shared" si="12"/>
        <v/>
      </c>
      <c r="M52" s="52">
        <f t="shared" si="13"/>
        <v>0</v>
      </c>
      <c r="N52" s="50"/>
      <c r="O52" s="39"/>
      <c r="P52" s="39"/>
      <c r="Q52" s="39"/>
    </row>
    <row r="53" spans="1:17" s="42" customFormat="1" ht="22.15" hidden="1" customHeight="1">
      <c r="A53" s="45"/>
      <c r="B53" s="46" t="e">
        <f>+INDEX('Danh sách CBCNV'!B:B,MATCH(C53,'Danh sách CBCNV'!C:C,0))</f>
        <v>#N/A</v>
      </c>
      <c r="C53" s="54"/>
      <c r="D53" s="40"/>
      <c r="E53" s="48" t="str">
        <f t="shared" si="15"/>
        <v/>
      </c>
      <c r="F53" s="50"/>
      <c r="G53" s="49"/>
      <c r="H53" s="49"/>
      <c r="I53" s="52">
        <f t="shared" si="10"/>
        <v>0</v>
      </c>
      <c r="J53" s="52" t="str">
        <f t="shared" si="14"/>
        <v/>
      </c>
      <c r="K53" s="52" t="str">
        <f t="shared" si="11"/>
        <v/>
      </c>
      <c r="L53" s="52" t="str">
        <f t="shared" si="12"/>
        <v/>
      </c>
      <c r="M53" s="52">
        <f t="shared" si="13"/>
        <v>0</v>
      </c>
      <c r="N53" s="50"/>
      <c r="O53" s="39"/>
      <c r="P53" s="39"/>
      <c r="Q53" s="39"/>
    </row>
    <row r="54" spans="1:17" s="42" customFormat="1" ht="22.15" hidden="1" customHeight="1">
      <c r="A54" s="45"/>
      <c r="B54" s="46" t="e">
        <f>+INDEX('Danh sách CBCNV'!B:B,MATCH(C54,'Danh sách CBCNV'!C:C,0))</f>
        <v>#N/A</v>
      </c>
      <c r="C54" s="54"/>
      <c r="D54" s="40"/>
      <c r="E54" s="48" t="str">
        <f t="shared" si="15"/>
        <v/>
      </c>
      <c r="F54" s="50"/>
      <c r="G54" s="49"/>
      <c r="H54" s="49"/>
      <c r="I54" s="52">
        <f t="shared" si="10"/>
        <v>0</v>
      </c>
      <c r="J54" s="52" t="str">
        <f t="shared" si="14"/>
        <v/>
      </c>
      <c r="K54" s="52" t="str">
        <f t="shared" si="11"/>
        <v/>
      </c>
      <c r="L54" s="52" t="str">
        <f t="shared" si="12"/>
        <v/>
      </c>
      <c r="M54" s="52">
        <f t="shared" si="13"/>
        <v>0</v>
      </c>
      <c r="N54" s="50"/>
      <c r="O54" s="39"/>
      <c r="P54" s="39"/>
      <c r="Q54" s="39"/>
    </row>
    <row r="55" spans="1:17" s="42" customFormat="1" ht="22.15" hidden="1" customHeight="1">
      <c r="A55" s="45"/>
      <c r="B55" s="46" t="e">
        <f>+INDEX('Danh sách CBCNV'!B:B,MATCH(C55,'Danh sách CBCNV'!C:C,0))</f>
        <v>#N/A</v>
      </c>
      <c r="C55" s="54"/>
      <c r="D55" s="40"/>
      <c r="E55" s="48" t="str">
        <f t="shared" si="15"/>
        <v/>
      </c>
      <c r="F55" s="50"/>
      <c r="G55" s="49"/>
      <c r="H55" s="49"/>
      <c r="I55" s="52">
        <f t="shared" si="10"/>
        <v>0</v>
      </c>
      <c r="J55" s="52" t="str">
        <f t="shared" si="14"/>
        <v/>
      </c>
      <c r="K55" s="52" t="str">
        <f t="shared" si="11"/>
        <v/>
      </c>
      <c r="L55" s="52" t="str">
        <f t="shared" si="12"/>
        <v/>
      </c>
      <c r="M55" s="52">
        <f t="shared" si="13"/>
        <v>0</v>
      </c>
      <c r="N55" s="50"/>
      <c r="O55" s="39"/>
      <c r="P55" s="39"/>
      <c r="Q55" s="39"/>
    </row>
    <row r="56" spans="1:17" s="42" customFormat="1" ht="22.15" hidden="1" customHeight="1">
      <c r="A56" s="45"/>
      <c r="B56" s="46" t="e">
        <f>+INDEX('Danh sách CBCNV'!B:B,MATCH(C56,'Danh sách CBCNV'!C:C,0))</f>
        <v>#N/A</v>
      </c>
      <c r="C56" s="54"/>
      <c r="D56" s="40"/>
      <c r="E56" s="48" t="str">
        <f t="shared" si="15"/>
        <v/>
      </c>
      <c r="F56" s="50"/>
      <c r="G56" s="49"/>
      <c r="H56" s="49"/>
      <c r="I56" s="52">
        <f t="shared" si="10"/>
        <v>0</v>
      </c>
      <c r="J56" s="52" t="str">
        <f t="shared" si="14"/>
        <v/>
      </c>
      <c r="K56" s="52" t="str">
        <f t="shared" si="11"/>
        <v/>
      </c>
      <c r="L56" s="52" t="str">
        <f t="shared" si="12"/>
        <v/>
      </c>
      <c r="M56" s="52">
        <f t="shared" si="13"/>
        <v>0</v>
      </c>
      <c r="N56" s="50"/>
      <c r="O56" s="39"/>
      <c r="P56" s="39"/>
      <c r="Q56" s="39"/>
    </row>
    <row r="57" spans="1:17" s="42" customFormat="1" ht="22.15" hidden="1" customHeight="1">
      <c r="A57" s="45"/>
      <c r="B57" s="46" t="e">
        <f>+INDEX('Danh sách CBCNV'!B:B,MATCH(C57,'Danh sách CBCNV'!C:C,0))</f>
        <v>#N/A</v>
      </c>
      <c r="C57" s="54"/>
      <c r="D57" s="40"/>
      <c r="E57" s="48" t="str">
        <f t="shared" si="15"/>
        <v/>
      </c>
      <c r="F57" s="50"/>
      <c r="G57" s="49"/>
      <c r="H57" s="49"/>
      <c r="I57" s="52">
        <f t="shared" si="10"/>
        <v>0</v>
      </c>
      <c r="J57" s="52" t="str">
        <f t="shared" si="14"/>
        <v/>
      </c>
      <c r="K57" s="52" t="str">
        <f t="shared" si="11"/>
        <v/>
      </c>
      <c r="L57" s="52" t="str">
        <f t="shared" si="12"/>
        <v/>
      </c>
      <c r="M57" s="52">
        <f t="shared" si="13"/>
        <v>0</v>
      </c>
      <c r="N57" s="50"/>
      <c r="O57" s="39"/>
      <c r="P57" s="39"/>
      <c r="Q57" s="39"/>
    </row>
    <row r="58" spans="1:17" s="42" customFormat="1" ht="22.15" hidden="1" customHeight="1">
      <c r="A58" s="45"/>
      <c r="B58" s="46" t="e">
        <f>+INDEX('Danh sách CBCNV'!B:B,MATCH(C58,'Danh sách CBCNV'!C:C,0))</f>
        <v>#N/A</v>
      </c>
      <c r="C58" s="54"/>
      <c r="D58" s="40"/>
      <c r="E58" s="48" t="str">
        <f t="shared" si="15"/>
        <v/>
      </c>
      <c r="F58" s="50"/>
      <c r="G58" s="49"/>
      <c r="H58" s="49"/>
      <c r="I58" s="52">
        <f t="shared" si="10"/>
        <v>0</v>
      </c>
      <c r="J58" s="52" t="str">
        <f t="shared" si="14"/>
        <v/>
      </c>
      <c r="K58" s="52" t="str">
        <f t="shared" si="11"/>
        <v/>
      </c>
      <c r="L58" s="52" t="str">
        <f t="shared" si="12"/>
        <v/>
      </c>
      <c r="M58" s="52">
        <f t="shared" si="13"/>
        <v>0</v>
      </c>
      <c r="N58" s="50"/>
      <c r="O58" s="39"/>
      <c r="P58" s="39"/>
      <c r="Q58" s="39"/>
    </row>
    <row r="59" spans="1:17" s="42" customFormat="1" ht="22.15" hidden="1" customHeight="1">
      <c r="A59" s="45"/>
      <c r="B59" s="46" t="e">
        <f>+INDEX('Danh sách CBCNV'!B:B,MATCH(C59,'Danh sách CBCNV'!C:C,0))</f>
        <v>#N/A</v>
      </c>
      <c r="C59" s="56"/>
      <c r="D59" s="40"/>
      <c r="E59" s="48" t="str">
        <f t="shared" si="15"/>
        <v/>
      </c>
      <c r="F59" s="50"/>
      <c r="G59" s="49"/>
      <c r="H59" s="49"/>
      <c r="I59" s="52">
        <f t="shared" si="10"/>
        <v>0</v>
      </c>
      <c r="J59" s="52" t="str">
        <f t="shared" si="14"/>
        <v/>
      </c>
      <c r="K59" s="52" t="str">
        <f t="shared" si="11"/>
        <v/>
      </c>
      <c r="L59" s="52" t="str">
        <f t="shared" si="12"/>
        <v/>
      </c>
      <c r="M59" s="52">
        <f t="shared" si="13"/>
        <v>0</v>
      </c>
      <c r="N59" s="50"/>
      <c r="O59" s="39"/>
      <c r="P59" s="39"/>
      <c r="Q59" s="39"/>
    </row>
    <row r="60" spans="1:17" s="42" customFormat="1" ht="22.15" hidden="1" customHeight="1">
      <c r="A60" s="45"/>
      <c r="B60" s="46" t="e">
        <f>+INDEX('Danh sách CBCNV'!B:B,MATCH(C60,'Danh sách CBCNV'!C:C,0))</f>
        <v>#N/A</v>
      </c>
      <c r="C60" s="55"/>
      <c r="D60" s="40"/>
      <c r="E60" s="48" t="str">
        <f t="shared" si="15"/>
        <v/>
      </c>
      <c r="F60" s="50"/>
      <c r="G60" s="49"/>
      <c r="H60" s="49"/>
      <c r="I60" s="52">
        <f t="shared" si="10"/>
        <v>0</v>
      </c>
      <c r="J60" s="52" t="str">
        <f t="shared" si="14"/>
        <v/>
      </c>
      <c r="K60" s="52" t="str">
        <f t="shared" si="11"/>
        <v/>
      </c>
      <c r="L60" s="52" t="str">
        <f t="shared" si="12"/>
        <v/>
      </c>
      <c r="M60" s="52">
        <f t="shared" si="13"/>
        <v>0</v>
      </c>
      <c r="N60" s="50"/>
      <c r="O60" s="39"/>
      <c r="P60" s="39"/>
      <c r="Q60" s="39"/>
    </row>
    <row r="61" spans="1:17" s="42" customFormat="1" ht="22.15" hidden="1" customHeight="1">
      <c r="A61" s="45"/>
      <c r="B61" s="46" t="e">
        <f>+INDEX('Danh sách CBCNV'!B:B,MATCH(C61,'Danh sách CBCNV'!C:C,0))</f>
        <v>#N/A</v>
      </c>
      <c r="C61" s="56"/>
      <c r="D61" s="40"/>
      <c r="E61" s="48" t="str">
        <f t="shared" si="15"/>
        <v/>
      </c>
      <c r="F61" s="50"/>
      <c r="G61" s="49"/>
      <c r="H61" s="49"/>
      <c r="I61" s="52">
        <f t="shared" si="10"/>
        <v>0</v>
      </c>
      <c r="J61" s="52" t="str">
        <f t="shared" si="14"/>
        <v/>
      </c>
      <c r="K61" s="52" t="str">
        <f t="shared" si="11"/>
        <v/>
      </c>
      <c r="L61" s="52" t="str">
        <f t="shared" si="12"/>
        <v/>
      </c>
      <c r="M61" s="52">
        <f t="shared" si="13"/>
        <v>0</v>
      </c>
      <c r="N61" s="50"/>
      <c r="O61" s="39"/>
      <c r="P61" s="39"/>
      <c r="Q61" s="39"/>
    </row>
    <row r="62" spans="1:17" s="42" customFormat="1" ht="22.15" hidden="1" customHeight="1">
      <c r="A62" s="45"/>
      <c r="B62" s="46" t="e">
        <f>+INDEX('Danh sách CBCNV'!B:B,MATCH(C62,'Danh sách CBCNV'!C:C,0))</f>
        <v>#N/A</v>
      </c>
      <c r="C62" s="54"/>
      <c r="D62" s="40"/>
      <c r="E62" s="48" t="str">
        <f t="shared" si="15"/>
        <v/>
      </c>
      <c r="F62" s="50"/>
      <c r="G62" s="49"/>
      <c r="H62" s="49"/>
      <c r="I62" s="52">
        <f t="shared" si="10"/>
        <v>0</v>
      </c>
      <c r="J62" s="52" t="str">
        <f t="shared" si="14"/>
        <v/>
      </c>
      <c r="K62" s="52" t="str">
        <f t="shared" si="11"/>
        <v/>
      </c>
      <c r="L62" s="52" t="str">
        <f t="shared" si="12"/>
        <v/>
      </c>
      <c r="M62" s="52">
        <f t="shared" si="13"/>
        <v>0</v>
      </c>
      <c r="N62" s="50"/>
      <c r="O62" s="39"/>
      <c r="P62" s="39"/>
      <c r="Q62" s="39"/>
    </row>
    <row r="63" spans="1:17" s="42" customFormat="1" ht="22.15" hidden="1" customHeight="1">
      <c r="A63" s="45"/>
      <c r="B63" s="46" t="e">
        <f>+INDEX('Danh sách CBCNV'!B:B,MATCH(C63,'Danh sách CBCNV'!C:C,0))</f>
        <v>#N/A</v>
      </c>
      <c r="C63" s="54"/>
      <c r="D63" s="40"/>
      <c r="E63" s="48" t="str">
        <f t="shared" si="15"/>
        <v/>
      </c>
      <c r="F63" s="50"/>
      <c r="G63" s="49"/>
      <c r="H63" s="49"/>
      <c r="I63" s="52">
        <f t="shared" si="10"/>
        <v>0</v>
      </c>
      <c r="J63" s="52" t="str">
        <f t="shared" si="14"/>
        <v/>
      </c>
      <c r="K63" s="52" t="str">
        <f t="shared" si="11"/>
        <v/>
      </c>
      <c r="L63" s="52" t="str">
        <f t="shared" si="12"/>
        <v/>
      </c>
      <c r="M63" s="52">
        <f t="shared" si="13"/>
        <v>0</v>
      </c>
      <c r="N63" s="50"/>
      <c r="O63" s="39"/>
      <c r="P63" s="39"/>
      <c r="Q63" s="39"/>
    </row>
    <row r="64" spans="1:17" s="42" customFormat="1" ht="22.15" hidden="1" customHeight="1">
      <c r="A64" s="45"/>
      <c r="B64" s="46" t="e">
        <f>+INDEX('Danh sách CBCNV'!B:B,MATCH(C64,'Danh sách CBCNV'!C:C,0))</f>
        <v>#N/A</v>
      </c>
      <c r="C64" s="58"/>
      <c r="D64" s="40"/>
      <c r="E64" s="48" t="str">
        <f t="shared" si="15"/>
        <v/>
      </c>
      <c r="F64" s="50"/>
      <c r="G64" s="49"/>
      <c r="H64" s="49"/>
      <c r="I64" s="52">
        <f t="shared" si="10"/>
        <v>0</v>
      </c>
      <c r="J64" s="52" t="str">
        <f t="shared" si="14"/>
        <v/>
      </c>
      <c r="K64" s="52" t="str">
        <f t="shared" si="11"/>
        <v/>
      </c>
      <c r="L64" s="52" t="str">
        <f t="shared" si="12"/>
        <v/>
      </c>
      <c r="M64" s="52">
        <f t="shared" si="13"/>
        <v>0</v>
      </c>
      <c r="N64" s="50"/>
      <c r="O64" s="39"/>
      <c r="P64" s="39"/>
      <c r="Q64" s="39"/>
    </row>
    <row r="65" spans="1:17" s="42" customFormat="1" ht="22.15" hidden="1" customHeight="1">
      <c r="A65" s="45"/>
      <c r="B65" s="46" t="e">
        <f>+INDEX('Danh sách CBCNV'!B:B,MATCH(C65,'Danh sách CBCNV'!C:C,0))</f>
        <v>#N/A</v>
      </c>
      <c r="C65" s="57"/>
      <c r="D65" s="40"/>
      <c r="E65" s="48" t="str">
        <f t="shared" si="15"/>
        <v/>
      </c>
      <c r="F65" s="50"/>
      <c r="G65" s="49"/>
      <c r="H65" s="49"/>
      <c r="I65" s="52">
        <f t="shared" si="10"/>
        <v>0</v>
      </c>
      <c r="J65" s="52" t="str">
        <f t="shared" si="14"/>
        <v/>
      </c>
      <c r="K65" s="52" t="str">
        <f t="shared" si="11"/>
        <v/>
      </c>
      <c r="L65" s="52" t="str">
        <f t="shared" si="12"/>
        <v/>
      </c>
      <c r="M65" s="52">
        <f t="shared" si="13"/>
        <v>0</v>
      </c>
      <c r="N65" s="50"/>
      <c r="O65" s="39"/>
      <c r="P65" s="39"/>
      <c r="Q65" s="39"/>
    </row>
    <row r="66" spans="1:17" s="42" customFormat="1" ht="22.15" hidden="1" customHeight="1">
      <c r="A66" s="45"/>
      <c r="B66" s="46" t="e">
        <f>+INDEX('Danh sách CBCNV'!B:B,MATCH(C66,'Danh sách CBCNV'!C:C,0))</f>
        <v>#N/A</v>
      </c>
      <c r="C66" s="54"/>
      <c r="D66" s="40"/>
      <c r="E66" s="48" t="str">
        <f t="shared" si="15"/>
        <v/>
      </c>
      <c r="F66" s="50"/>
      <c r="G66" s="49"/>
      <c r="H66" s="49"/>
      <c r="I66" s="52">
        <f t="shared" si="10"/>
        <v>0</v>
      </c>
      <c r="J66" s="52" t="str">
        <f t="shared" si="14"/>
        <v/>
      </c>
      <c r="K66" s="52" t="str">
        <f t="shared" si="11"/>
        <v/>
      </c>
      <c r="L66" s="52" t="str">
        <f t="shared" si="12"/>
        <v/>
      </c>
      <c r="M66" s="52">
        <f t="shared" si="13"/>
        <v>0</v>
      </c>
      <c r="N66" s="50"/>
      <c r="O66" s="39"/>
      <c r="P66" s="39"/>
      <c r="Q66" s="39"/>
    </row>
    <row r="67" spans="1:17" s="42" customFormat="1" ht="22.15" hidden="1" customHeight="1">
      <c r="A67" s="45"/>
      <c r="B67" s="46" t="e">
        <f>+INDEX('Danh sách CBCNV'!B:B,MATCH(C67,'Danh sách CBCNV'!C:C,0))</f>
        <v>#N/A</v>
      </c>
      <c r="C67" s="54"/>
      <c r="D67" s="40"/>
      <c r="E67" s="48" t="str">
        <f t="shared" si="15"/>
        <v/>
      </c>
      <c r="F67" s="50"/>
      <c r="G67" s="49"/>
      <c r="H67" s="49"/>
      <c r="I67" s="52">
        <f t="shared" si="10"/>
        <v>0</v>
      </c>
      <c r="J67" s="52" t="str">
        <f t="shared" si="14"/>
        <v/>
      </c>
      <c r="K67" s="52" t="str">
        <f t="shared" si="11"/>
        <v/>
      </c>
      <c r="L67" s="52" t="str">
        <f t="shared" si="12"/>
        <v/>
      </c>
      <c r="M67" s="52">
        <f t="shared" si="13"/>
        <v>0</v>
      </c>
      <c r="N67" s="50"/>
      <c r="O67" s="39"/>
      <c r="P67" s="39"/>
      <c r="Q67" s="39"/>
    </row>
    <row r="68" spans="1:17" s="42" customFormat="1" ht="22.15" hidden="1" customHeight="1">
      <c r="A68" s="45"/>
      <c r="B68" s="46" t="e">
        <f>+INDEX('Danh sách CBCNV'!B:B,MATCH(C68,'Danh sách CBCNV'!C:C,0))</f>
        <v>#N/A</v>
      </c>
      <c r="C68" s="54"/>
      <c r="D68" s="40"/>
      <c r="E68" s="48" t="str">
        <f t="shared" si="15"/>
        <v/>
      </c>
      <c r="F68" s="50"/>
      <c r="G68" s="49"/>
      <c r="H68" s="49"/>
      <c r="I68" s="52">
        <f t="shared" si="10"/>
        <v>0</v>
      </c>
      <c r="J68" s="52" t="str">
        <f t="shared" si="14"/>
        <v/>
      </c>
      <c r="K68" s="52" t="str">
        <f t="shared" si="11"/>
        <v/>
      </c>
      <c r="L68" s="52" t="str">
        <f t="shared" si="12"/>
        <v/>
      </c>
      <c r="M68" s="52">
        <f t="shared" si="13"/>
        <v>0</v>
      </c>
      <c r="N68" s="50"/>
      <c r="O68" s="39"/>
      <c r="P68" s="39"/>
      <c r="Q68" s="39"/>
    </row>
    <row r="69" spans="1:17" s="42" customFormat="1" ht="22.15" hidden="1" customHeight="1">
      <c r="A69" s="45"/>
      <c r="B69" s="46" t="e">
        <f>+INDEX('Danh sách CBCNV'!B:B,MATCH(C69,'Danh sách CBCNV'!C:C,0))</f>
        <v>#N/A</v>
      </c>
      <c r="C69" s="54"/>
      <c r="D69" s="40"/>
      <c r="E69" s="48" t="str">
        <f t="shared" si="15"/>
        <v/>
      </c>
      <c r="F69" s="50"/>
      <c r="G69" s="49"/>
      <c r="H69" s="49"/>
      <c r="I69" s="52">
        <f t="shared" si="10"/>
        <v>0</v>
      </c>
      <c r="J69" s="52" t="str">
        <f t="shared" si="14"/>
        <v/>
      </c>
      <c r="K69" s="52" t="str">
        <f t="shared" si="11"/>
        <v/>
      </c>
      <c r="L69" s="52" t="str">
        <f t="shared" si="12"/>
        <v/>
      </c>
      <c r="M69" s="52">
        <f t="shared" si="13"/>
        <v>0</v>
      </c>
      <c r="N69" s="50"/>
      <c r="O69" s="39"/>
      <c r="P69" s="39"/>
      <c r="Q69" s="39"/>
    </row>
    <row r="70" spans="1:17" s="42" customFormat="1" ht="22.15" hidden="1" customHeight="1">
      <c r="A70" s="45"/>
      <c r="B70" s="46" t="e">
        <f>+INDEX('Danh sách CBCNV'!B:B,MATCH(C70,'Danh sách CBCNV'!C:C,0))</f>
        <v>#N/A</v>
      </c>
      <c r="C70" s="55"/>
      <c r="D70" s="40"/>
      <c r="E70" s="48" t="str">
        <f t="shared" si="15"/>
        <v/>
      </c>
      <c r="F70" s="50"/>
      <c r="G70" s="49"/>
      <c r="H70" s="49"/>
      <c r="I70" s="52">
        <f t="shared" si="10"/>
        <v>0</v>
      </c>
      <c r="J70" s="52" t="str">
        <f t="shared" si="14"/>
        <v/>
      </c>
      <c r="K70" s="52" t="str">
        <f t="shared" si="11"/>
        <v/>
      </c>
      <c r="L70" s="52" t="str">
        <f t="shared" si="12"/>
        <v/>
      </c>
      <c r="M70" s="52">
        <f t="shared" si="13"/>
        <v>0</v>
      </c>
      <c r="N70" s="50"/>
      <c r="O70" s="39"/>
      <c r="P70" s="39"/>
      <c r="Q70" s="39"/>
    </row>
    <row r="71" spans="1:17" s="42" customFormat="1" ht="22.15" hidden="1" customHeight="1">
      <c r="A71" s="45"/>
      <c r="B71" s="46" t="e">
        <f>+INDEX('Danh sách CBCNV'!B:B,MATCH(C71,'Danh sách CBCNV'!C:C,0))</f>
        <v>#N/A</v>
      </c>
      <c r="C71" s="54"/>
      <c r="D71" s="40"/>
      <c r="E71" s="48" t="str">
        <f t="shared" si="15"/>
        <v/>
      </c>
      <c r="F71" s="50"/>
      <c r="G71" s="49"/>
      <c r="H71" s="49"/>
      <c r="I71" s="52">
        <f t="shared" si="10"/>
        <v>0</v>
      </c>
      <c r="J71" s="52" t="str">
        <f t="shared" si="14"/>
        <v/>
      </c>
      <c r="K71" s="52" t="str">
        <f t="shared" si="11"/>
        <v/>
      </c>
      <c r="L71" s="52" t="str">
        <f t="shared" si="12"/>
        <v/>
      </c>
      <c r="M71" s="52">
        <f t="shared" si="13"/>
        <v>0</v>
      </c>
      <c r="N71" s="50"/>
      <c r="O71" s="39"/>
      <c r="P71" s="39"/>
      <c r="Q71" s="39"/>
    </row>
    <row r="72" spans="1:17" s="42" customFormat="1" ht="22.15" hidden="1" customHeight="1">
      <c r="A72" s="45"/>
      <c r="B72" s="46" t="e">
        <f>+INDEX('Danh sách CBCNV'!B:B,MATCH(C72,'Danh sách CBCNV'!C:C,0))</f>
        <v>#N/A</v>
      </c>
      <c r="C72" s="58"/>
      <c r="D72" s="40"/>
      <c r="E72" s="48" t="str">
        <f t="shared" si="15"/>
        <v/>
      </c>
      <c r="F72" s="50"/>
      <c r="G72" s="49"/>
      <c r="H72" s="49"/>
      <c r="I72" s="52">
        <f t="shared" si="10"/>
        <v>0</v>
      </c>
      <c r="J72" s="52" t="str">
        <f t="shared" si="14"/>
        <v/>
      </c>
      <c r="K72" s="52" t="str">
        <f t="shared" si="11"/>
        <v/>
      </c>
      <c r="L72" s="52" t="str">
        <f t="shared" si="12"/>
        <v/>
      </c>
      <c r="M72" s="52">
        <f t="shared" si="13"/>
        <v>0</v>
      </c>
      <c r="N72" s="50"/>
      <c r="O72" s="39"/>
      <c r="P72" s="39"/>
      <c r="Q72" s="39"/>
    </row>
    <row r="73" spans="1:17" s="42" customFormat="1" ht="22.15" hidden="1" customHeight="1">
      <c r="A73" s="45"/>
      <c r="B73" s="46" t="e">
        <f>+INDEX('Danh sách CBCNV'!B:B,MATCH(C73,'Danh sách CBCNV'!C:C,0))</f>
        <v>#N/A</v>
      </c>
      <c r="C73" s="54"/>
      <c r="D73" s="40"/>
      <c r="E73" s="48" t="str">
        <f t="shared" si="15"/>
        <v/>
      </c>
      <c r="F73" s="50"/>
      <c r="G73" s="49"/>
      <c r="H73" s="49"/>
      <c r="I73" s="52">
        <f t="shared" ref="I73:I136" si="16">IF(E73="CN","",IF(AND(H73&lt;=24,G73&gt;=19),H73-G73,IF(AND(H73&lt;20,G73&gt;=17),H73-G73,IF(AND(G73&gt;=12,H73&lt;=19),H73-G73,IF(AND(H73&gt;12,H73&lt;20),(H73-G73)-1,IF(H73&gt;22,22-G73,(H73-G73)))))))</f>
        <v>0</v>
      </c>
      <c r="J73" s="52" t="str">
        <f t="shared" ref="J73:J136" si="17">IF(E73&lt;&gt;"CN","",IF(AND(H73&gt;12,H182585),(H73-G73)-1,IF(AND(E73="CN",H73&gt;=22),(22-G73-1),(H73-G73))))</f>
        <v/>
      </c>
      <c r="K73" s="52" t="str">
        <f t="shared" ref="K73:K136" si="18">IF(E73="CN","",IF(H73&gt;=22,H73-22,""))</f>
        <v/>
      </c>
      <c r="L73" s="52" t="str">
        <f t="shared" ref="L73:L136" si="19">IF(AND(E73="CN",H73&gt;=22),24-H73,"")</f>
        <v/>
      </c>
      <c r="M73" s="52">
        <f t="shared" ref="M73:M136" si="20">SUM(I73:L73)</f>
        <v>0</v>
      </c>
      <c r="N73" s="50"/>
      <c r="O73" s="39"/>
      <c r="P73" s="39"/>
      <c r="Q73" s="39"/>
    </row>
    <row r="74" spans="1:17" s="42" customFormat="1" ht="22.15" hidden="1" customHeight="1">
      <c r="A74" s="45"/>
      <c r="B74" s="46" t="e">
        <f>+INDEX('Danh sách CBCNV'!B:B,MATCH(C74,'Danh sách CBCNV'!C:C,0))</f>
        <v>#N/A</v>
      </c>
      <c r="C74" s="54"/>
      <c r="D74" s="40"/>
      <c r="E74" s="48" t="str">
        <f t="shared" si="15"/>
        <v/>
      </c>
      <c r="F74" s="50"/>
      <c r="G74" s="49"/>
      <c r="H74" s="49"/>
      <c r="I74" s="52">
        <f t="shared" si="16"/>
        <v>0</v>
      </c>
      <c r="J74" s="52" t="str">
        <f t="shared" si="17"/>
        <v/>
      </c>
      <c r="K74" s="52" t="str">
        <f t="shared" si="18"/>
        <v/>
      </c>
      <c r="L74" s="52" t="str">
        <f t="shared" si="19"/>
        <v/>
      </c>
      <c r="M74" s="52">
        <f t="shared" si="20"/>
        <v>0</v>
      </c>
      <c r="N74" s="50"/>
      <c r="O74" s="39"/>
      <c r="P74" s="39"/>
      <c r="Q74" s="39"/>
    </row>
    <row r="75" spans="1:17" s="42" customFormat="1" ht="22.15" hidden="1" customHeight="1">
      <c r="A75" s="45"/>
      <c r="B75" s="46" t="e">
        <f>+INDEX('Danh sách CBCNV'!B:B,MATCH(C75,'Danh sách CBCNV'!C:C,0))</f>
        <v>#N/A</v>
      </c>
      <c r="C75" s="54"/>
      <c r="D75" s="40"/>
      <c r="E75" s="48" t="str">
        <f t="shared" si="15"/>
        <v/>
      </c>
      <c r="F75" s="50"/>
      <c r="G75" s="49"/>
      <c r="H75" s="49"/>
      <c r="I75" s="52">
        <f t="shared" si="16"/>
        <v>0</v>
      </c>
      <c r="J75" s="52" t="str">
        <f t="shared" si="17"/>
        <v/>
      </c>
      <c r="K75" s="52" t="str">
        <f t="shared" si="18"/>
        <v/>
      </c>
      <c r="L75" s="52" t="str">
        <f t="shared" si="19"/>
        <v/>
      </c>
      <c r="M75" s="52">
        <f t="shared" si="20"/>
        <v>0</v>
      </c>
      <c r="N75" s="50"/>
      <c r="O75" s="39"/>
      <c r="P75" s="39"/>
      <c r="Q75" s="39"/>
    </row>
    <row r="76" spans="1:17" s="42" customFormat="1" ht="22.15" hidden="1" customHeight="1">
      <c r="A76" s="45"/>
      <c r="B76" s="46" t="e">
        <f>+INDEX('Danh sách CBCNV'!B:B,MATCH(C76,'Danh sách CBCNV'!C:C,0))</f>
        <v>#N/A</v>
      </c>
      <c r="C76" s="54"/>
      <c r="D76" s="40"/>
      <c r="E76" s="48" t="str">
        <f t="shared" si="15"/>
        <v/>
      </c>
      <c r="F76" s="50"/>
      <c r="G76" s="49"/>
      <c r="H76" s="49"/>
      <c r="I76" s="52">
        <f t="shared" si="16"/>
        <v>0</v>
      </c>
      <c r="J76" s="52" t="str">
        <f t="shared" si="17"/>
        <v/>
      </c>
      <c r="K76" s="52" t="str">
        <f t="shared" si="18"/>
        <v/>
      </c>
      <c r="L76" s="52" t="str">
        <f t="shared" si="19"/>
        <v/>
      </c>
      <c r="M76" s="52">
        <f t="shared" si="20"/>
        <v>0</v>
      </c>
      <c r="N76" s="50"/>
      <c r="O76" s="39"/>
      <c r="P76" s="39"/>
      <c r="Q76" s="39"/>
    </row>
    <row r="77" spans="1:17" s="42" customFormat="1" ht="22.15" hidden="1" customHeight="1">
      <c r="A77" s="45"/>
      <c r="B77" s="46" t="e">
        <f>+INDEX('Danh sách CBCNV'!B:B,MATCH(C77,'Danh sách CBCNV'!C:C,0))</f>
        <v>#N/A</v>
      </c>
      <c r="C77" s="54"/>
      <c r="D77" s="40"/>
      <c r="E77" s="48" t="str">
        <f t="shared" si="15"/>
        <v/>
      </c>
      <c r="F77" s="50"/>
      <c r="G77" s="49"/>
      <c r="H77" s="49"/>
      <c r="I77" s="52">
        <f t="shared" si="16"/>
        <v>0</v>
      </c>
      <c r="J77" s="52" t="str">
        <f t="shared" si="17"/>
        <v/>
      </c>
      <c r="K77" s="52" t="str">
        <f t="shared" si="18"/>
        <v/>
      </c>
      <c r="L77" s="52" t="str">
        <f t="shared" si="19"/>
        <v/>
      </c>
      <c r="M77" s="52">
        <f t="shared" si="20"/>
        <v>0</v>
      </c>
      <c r="N77" s="50"/>
      <c r="O77" s="39"/>
      <c r="P77" s="39"/>
      <c r="Q77" s="39"/>
    </row>
    <row r="78" spans="1:17" s="42" customFormat="1" ht="22.15" hidden="1" customHeight="1">
      <c r="A78" s="45"/>
      <c r="B78" s="46" t="e">
        <f>+INDEX('Danh sách CBCNV'!B:B,MATCH(C78,'Danh sách CBCNV'!C:C,0))</f>
        <v>#N/A</v>
      </c>
      <c r="C78" s="54"/>
      <c r="D78" s="40"/>
      <c r="E78" s="48" t="str">
        <f t="shared" si="15"/>
        <v/>
      </c>
      <c r="F78" s="50"/>
      <c r="G78" s="49"/>
      <c r="H78" s="49"/>
      <c r="I78" s="52">
        <f t="shared" si="16"/>
        <v>0</v>
      </c>
      <c r="J78" s="52" t="str">
        <f t="shared" si="17"/>
        <v/>
      </c>
      <c r="K78" s="52" t="str">
        <f t="shared" si="18"/>
        <v/>
      </c>
      <c r="L78" s="52" t="str">
        <f t="shared" si="19"/>
        <v/>
      </c>
      <c r="M78" s="52">
        <f t="shared" si="20"/>
        <v>0</v>
      </c>
      <c r="N78" s="50"/>
      <c r="O78" s="39"/>
      <c r="P78" s="39"/>
      <c r="Q78" s="39"/>
    </row>
    <row r="79" spans="1:17" s="42" customFormat="1" ht="22.15" hidden="1" customHeight="1">
      <c r="A79" s="45"/>
      <c r="B79" s="46" t="e">
        <f>+INDEX('Danh sách CBCNV'!B:B,MATCH(C79,'Danh sách CBCNV'!C:C,0))</f>
        <v>#N/A</v>
      </c>
      <c r="C79" s="55"/>
      <c r="D79" s="40"/>
      <c r="E79" s="48" t="str">
        <f t="shared" si="15"/>
        <v/>
      </c>
      <c r="F79" s="50"/>
      <c r="G79" s="49"/>
      <c r="H79" s="49"/>
      <c r="I79" s="52">
        <f t="shared" si="16"/>
        <v>0</v>
      </c>
      <c r="J79" s="52" t="str">
        <f t="shared" si="17"/>
        <v/>
      </c>
      <c r="K79" s="52" t="str">
        <f t="shared" si="18"/>
        <v/>
      </c>
      <c r="L79" s="52" t="str">
        <f t="shared" si="19"/>
        <v/>
      </c>
      <c r="M79" s="52">
        <f t="shared" si="20"/>
        <v>0</v>
      </c>
      <c r="N79" s="50"/>
      <c r="O79" s="39"/>
      <c r="P79" s="39"/>
      <c r="Q79" s="39"/>
    </row>
    <row r="80" spans="1:17" s="42" customFormat="1" ht="22.15" hidden="1" customHeight="1">
      <c r="A80" s="45"/>
      <c r="B80" s="46" t="e">
        <f>+INDEX('Danh sách CBCNV'!B:B,MATCH(C80,'Danh sách CBCNV'!C:C,0))</f>
        <v>#N/A</v>
      </c>
      <c r="C80" s="54"/>
      <c r="D80" s="40"/>
      <c r="E80" s="48" t="str">
        <f t="shared" si="15"/>
        <v/>
      </c>
      <c r="F80" s="50"/>
      <c r="G80" s="49"/>
      <c r="H80" s="49"/>
      <c r="I80" s="52">
        <f t="shared" si="16"/>
        <v>0</v>
      </c>
      <c r="J80" s="52" t="str">
        <f t="shared" si="17"/>
        <v/>
      </c>
      <c r="K80" s="52" t="str">
        <f t="shared" si="18"/>
        <v/>
      </c>
      <c r="L80" s="52" t="str">
        <f t="shared" si="19"/>
        <v/>
      </c>
      <c r="M80" s="52">
        <f t="shared" si="20"/>
        <v>0</v>
      </c>
      <c r="N80" s="50"/>
      <c r="O80" s="39"/>
      <c r="P80" s="39"/>
      <c r="Q80" s="39"/>
    </row>
    <row r="81" spans="1:17" s="42" customFormat="1" ht="22.15" hidden="1" customHeight="1">
      <c r="A81" s="45"/>
      <c r="B81" s="46" t="e">
        <f>+INDEX('Danh sách CBCNV'!B:B,MATCH(C81,'Danh sách CBCNV'!C:C,0))</f>
        <v>#N/A</v>
      </c>
      <c r="C81" s="54"/>
      <c r="D81" s="40"/>
      <c r="E81" s="48" t="str">
        <f t="shared" ref="E81:E117" si="21">+IF(D81&lt;&gt;"",CHOOSE(WEEKDAY(D81),"CN","T2","T3","T4","T5","T6","T7"),"")</f>
        <v/>
      </c>
      <c r="F81" s="50"/>
      <c r="G81" s="49"/>
      <c r="H81" s="49"/>
      <c r="I81" s="52">
        <f t="shared" si="16"/>
        <v>0</v>
      </c>
      <c r="J81" s="52" t="str">
        <f t="shared" si="17"/>
        <v/>
      </c>
      <c r="K81" s="52" t="str">
        <f t="shared" si="18"/>
        <v/>
      </c>
      <c r="L81" s="52" t="str">
        <f t="shared" si="19"/>
        <v/>
      </c>
      <c r="M81" s="52">
        <f t="shared" si="20"/>
        <v>0</v>
      </c>
      <c r="N81" s="50"/>
      <c r="O81" s="39"/>
      <c r="P81" s="39"/>
      <c r="Q81" s="39"/>
    </row>
    <row r="82" spans="1:17" s="42" customFormat="1" ht="22.15" hidden="1" customHeight="1">
      <c r="A82" s="45"/>
      <c r="B82" s="46" t="e">
        <f>+INDEX('Danh sách CBCNV'!B:B,MATCH(C82,'Danh sách CBCNV'!C:C,0))</f>
        <v>#N/A</v>
      </c>
      <c r="C82" s="56"/>
      <c r="D82" s="40"/>
      <c r="E82" s="48" t="str">
        <f t="shared" si="21"/>
        <v/>
      </c>
      <c r="F82" s="50"/>
      <c r="G82" s="49"/>
      <c r="H82" s="49"/>
      <c r="I82" s="52">
        <f t="shared" si="16"/>
        <v>0</v>
      </c>
      <c r="J82" s="52" t="str">
        <f t="shared" si="17"/>
        <v/>
      </c>
      <c r="K82" s="52" t="str">
        <f t="shared" si="18"/>
        <v/>
      </c>
      <c r="L82" s="52" t="str">
        <f t="shared" si="19"/>
        <v/>
      </c>
      <c r="M82" s="52">
        <f t="shared" si="20"/>
        <v>0</v>
      </c>
      <c r="N82" s="50"/>
      <c r="O82" s="39"/>
      <c r="P82" s="39"/>
      <c r="Q82" s="39"/>
    </row>
    <row r="83" spans="1:17" s="42" customFormat="1" ht="22.15" hidden="1" customHeight="1">
      <c r="A83" s="45"/>
      <c r="B83" s="46" t="e">
        <f>+INDEX('Danh sách CBCNV'!B:B,MATCH(C83,'Danh sách CBCNV'!C:C,0))</f>
        <v>#N/A</v>
      </c>
      <c r="C83" s="54"/>
      <c r="D83" s="40"/>
      <c r="E83" s="48" t="str">
        <f t="shared" si="21"/>
        <v/>
      </c>
      <c r="F83" s="50"/>
      <c r="G83" s="49"/>
      <c r="H83" s="49"/>
      <c r="I83" s="52">
        <f t="shared" si="16"/>
        <v>0</v>
      </c>
      <c r="J83" s="52" t="str">
        <f t="shared" si="17"/>
        <v/>
      </c>
      <c r="K83" s="52" t="str">
        <f t="shared" si="18"/>
        <v/>
      </c>
      <c r="L83" s="52" t="str">
        <f t="shared" si="19"/>
        <v/>
      </c>
      <c r="M83" s="52">
        <f t="shared" si="20"/>
        <v>0</v>
      </c>
      <c r="N83" s="50"/>
      <c r="O83" s="39"/>
      <c r="P83" s="39"/>
      <c r="Q83" s="39"/>
    </row>
    <row r="84" spans="1:17" s="42" customFormat="1" ht="22.15" hidden="1" customHeight="1">
      <c r="A84" s="45"/>
      <c r="B84" s="46" t="e">
        <f>+INDEX('Danh sách CBCNV'!B:B,MATCH(C84,'Danh sách CBCNV'!C:C,0))</f>
        <v>#N/A</v>
      </c>
      <c r="C84" s="54"/>
      <c r="D84" s="40"/>
      <c r="E84" s="48" t="str">
        <f t="shared" si="21"/>
        <v/>
      </c>
      <c r="F84" s="50"/>
      <c r="G84" s="49"/>
      <c r="H84" s="49"/>
      <c r="I84" s="52">
        <f t="shared" si="16"/>
        <v>0</v>
      </c>
      <c r="J84" s="52" t="str">
        <f t="shared" si="17"/>
        <v/>
      </c>
      <c r="K84" s="52" t="str">
        <f t="shared" si="18"/>
        <v/>
      </c>
      <c r="L84" s="52" t="str">
        <f t="shared" si="19"/>
        <v/>
      </c>
      <c r="M84" s="52">
        <f t="shared" si="20"/>
        <v>0</v>
      </c>
      <c r="N84" s="50"/>
      <c r="O84" s="39"/>
      <c r="P84" s="39"/>
      <c r="Q84" s="39"/>
    </row>
    <row r="85" spans="1:17" s="42" customFormat="1" ht="22.15" hidden="1" customHeight="1">
      <c r="A85" s="45"/>
      <c r="B85" s="46" t="e">
        <f>+INDEX('Danh sách CBCNV'!B:B,MATCH(C85,'Danh sách CBCNV'!C:C,0))</f>
        <v>#N/A</v>
      </c>
      <c r="C85" s="54"/>
      <c r="D85" s="40"/>
      <c r="E85" s="48" t="str">
        <f t="shared" si="21"/>
        <v/>
      </c>
      <c r="F85" s="50"/>
      <c r="G85" s="49"/>
      <c r="H85" s="49"/>
      <c r="I85" s="52">
        <f t="shared" si="16"/>
        <v>0</v>
      </c>
      <c r="J85" s="52" t="str">
        <f t="shared" si="17"/>
        <v/>
      </c>
      <c r="K85" s="52" t="str">
        <f t="shared" si="18"/>
        <v/>
      </c>
      <c r="L85" s="52" t="str">
        <f t="shared" si="19"/>
        <v/>
      </c>
      <c r="M85" s="52">
        <f t="shared" si="20"/>
        <v>0</v>
      </c>
      <c r="N85" s="50"/>
      <c r="O85" s="39"/>
      <c r="P85" s="39"/>
      <c r="Q85" s="39"/>
    </row>
    <row r="86" spans="1:17" s="42" customFormat="1" ht="22.15" hidden="1" customHeight="1">
      <c r="A86" s="45"/>
      <c r="B86" s="46" t="e">
        <f>+INDEX('Danh sách CBCNV'!B:B,MATCH(C86,'Danh sách CBCNV'!C:C,0))</f>
        <v>#N/A</v>
      </c>
      <c r="C86" s="54"/>
      <c r="D86" s="40"/>
      <c r="E86" s="48" t="str">
        <f t="shared" si="21"/>
        <v/>
      </c>
      <c r="F86" s="50"/>
      <c r="G86" s="49"/>
      <c r="H86" s="49"/>
      <c r="I86" s="52">
        <f t="shared" si="16"/>
        <v>0</v>
      </c>
      <c r="J86" s="52" t="str">
        <f t="shared" si="17"/>
        <v/>
      </c>
      <c r="K86" s="52" t="str">
        <f t="shared" si="18"/>
        <v/>
      </c>
      <c r="L86" s="52" t="str">
        <f t="shared" si="19"/>
        <v/>
      </c>
      <c r="M86" s="52">
        <f t="shared" si="20"/>
        <v>0</v>
      </c>
      <c r="N86" s="50"/>
      <c r="O86" s="39"/>
      <c r="P86" s="39"/>
      <c r="Q86" s="39"/>
    </row>
    <row r="87" spans="1:17" s="42" customFormat="1" ht="22.15" hidden="1" customHeight="1">
      <c r="A87" s="45"/>
      <c r="B87" s="46" t="e">
        <f>+INDEX('Danh sách CBCNV'!B:B,MATCH(C87,'Danh sách CBCNV'!C:C,0))</f>
        <v>#N/A</v>
      </c>
      <c r="C87" s="55"/>
      <c r="D87" s="40"/>
      <c r="E87" s="48" t="str">
        <f t="shared" si="21"/>
        <v/>
      </c>
      <c r="F87" s="50"/>
      <c r="G87" s="49"/>
      <c r="H87" s="49"/>
      <c r="I87" s="52">
        <f t="shared" si="16"/>
        <v>0</v>
      </c>
      <c r="J87" s="52" t="str">
        <f t="shared" si="17"/>
        <v/>
      </c>
      <c r="K87" s="52" t="str">
        <f t="shared" si="18"/>
        <v/>
      </c>
      <c r="L87" s="52" t="str">
        <f t="shared" si="19"/>
        <v/>
      </c>
      <c r="M87" s="52">
        <f t="shared" si="20"/>
        <v>0</v>
      </c>
      <c r="N87" s="50"/>
      <c r="O87" s="39"/>
      <c r="P87" s="39"/>
      <c r="Q87" s="39"/>
    </row>
    <row r="88" spans="1:17" s="42" customFormat="1" ht="22.15" hidden="1" customHeight="1">
      <c r="A88" s="45"/>
      <c r="B88" s="46" t="e">
        <f>+INDEX('Danh sách CBCNV'!B:B,MATCH(C88,'Danh sách CBCNV'!C:C,0))</f>
        <v>#N/A</v>
      </c>
      <c r="C88" s="56"/>
      <c r="D88" s="40"/>
      <c r="E88" s="48" t="str">
        <f t="shared" si="21"/>
        <v/>
      </c>
      <c r="F88" s="50"/>
      <c r="G88" s="49"/>
      <c r="H88" s="49"/>
      <c r="I88" s="52">
        <f t="shared" si="16"/>
        <v>0</v>
      </c>
      <c r="J88" s="52" t="str">
        <f t="shared" si="17"/>
        <v/>
      </c>
      <c r="K88" s="52" t="str">
        <f t="shared" si="18"/>
        <v/>
      </c>
      <c r="L88" s="52" t="str">
        <f t="shared" si="19"/>
        <v/>
      </c>
      <c r="M88" s="52">
        <f t="shared" si="20"/>
        <v>0</v>
      </c>
      <c r="N88" s="50"/>
      <c r="O88" s="39"/>
      <c r="P88" s="39"/>
      <c r="Q88" s="39"/>
    </row>
    <row r="89" spans="1:17" s="42" customFormat="1" ht="22.15" hidden="1" customHeight="1">
      <c r="A89" s="45"/>
      <c r="B89" s="46" t="e">
        <f>+INDEX('Danh sách CBCNV'!B:B,MATCH(C89,'Danh sách CBCNV'!C:C,0))</f>
        <v>#N/A</v>
      </c>
      <c r="C89" s="54"/>
      <c r="D89" s="40"/>
      <c r="E89" s="48" t="str">
        <f t="shared" si="21"/>
        <v/>
      </c>
      <c r="F89" s="50"/>
      <c r="G89" s="49"/>
      <c r="H89" s="49"/>
      <c r="I89" s="52">
        <f t="shared" si="16"/>
        <v>0</v>
      </c>
      <c r="J89" s="52" t="str">
        <f t="shared" si="17"/>
        <v/>
      </c>
      <c r="K89" s="52" t="str">
        <f t="shared" si="18"/>
        <v/>
      </c>
      <c r="L89" s="52" t="str">
        <f t="shared" si="19"/>
        <v/>
      </c>
      <c r="M89" s="52">
        <f t="shared" si="20"/>
        <v>0</v>
      </c>
      <c r="N89" s="50"/>
      <c r="O89" s="39"/>
      <c r="P89" s="39"/>
      <c r="Q89" s="39"/>
    </row>
    <row r="90" spans="1:17" s="42" customFormat="1" ht="22.15" hidden="1" customHeight="1">
      <c r="A90" s="45"/>
      <c r="B90" s="46" t="e">
        <f>+INDEX('Danh sách CBCNV'!B:B,MATCH(C90,'Danh sách CBCNV'!C:C,0))</f>
        <v>#N/A</v>
      </c>
      <c r="C90" s="57"/>
      <c r="D90" s="40"/>
      <c r="E90" s="48" t="str">
        <f t="shared" si="21"/>
        <v/>
      </c>
      <c r="F90" s="50"/>
      <c r="G90" s="49"/>
      <c r="H90" s="49"/>
      <c r="I90" s="52">
        <f t="shared" si="16"/>
        <v>0</v>
      </c>
      <c r="J90" s="52" t="str">
        <f t="shared" si="17"/>
        <v/>
      </c>
      <c r="K90" s="52" t="str">
        <f t="shared" si="18"/>
        <v/>
      </c>
      <c r="L90" s="52" t="str">
        <f t="shared" si="19"/>
        <v/>
      </c>
      <c r="M90" s="52">
        <f t="shared" si="20"/>
        <v>0</v>
      </c>
      <c r="N90" s="50"/>
      <c r="O90" s="39"/>
      <c r="P90" s="39"/>
      <c r="Q90" s="39"/>
    </row>
    <row r="91" spans="1:17" s="42" customFormat="1" ht="22.15" hidden="1" customHeight="1">
      <c r="A91" s="45"/>
      <c r="B91" s="46" t="e">
        <f>+INDEX('Danh sách CBCNV'!B:B,MATCH(C91,'Danh sách CBCNV'!C:C,0))</f>
        <v>#N/A</v>
      </c>
      <c r="C91" s="57"/>
      <c r="D91" s="40"/>
      <c r="E91" s="48" t="str">
        <f t="shared" si="21"/>
        <v/>
      </c>
      <c r="F91" s="50"/>
      <c r="G91" s="49"/>
      <c r="H91" s="49"/>
      <c r="I91" s="52">
        <f t="shared" si="16"/>
        <v>0</v>
      </c>
      <c r="J91" s="52" t="str">
        <f t="shared" si="17"/>
        <v/>
      </c>
      <c r="K91" s="52" t="str">
        <f t="shared" si="18"/>
        <v/>
      </c>
      <c r="L91" s="52" t="str">
        <f t="shared" si="19"/>
        <v/>
      </c>
      <c r="M91" s="52">
        <f t="shared" si="20"/>
        <v>0</v>
      </c>
      <c r="N91" s="50"/>
      <c r="O91" s="39"/>
      <c r="P91" s="39"/>
      <c r="Q91" s="39"/>
    </row>
    <row r="92" spans="1:17" s="42" customFormat="1" ht="22.15" hidden="1" customHeight="1">
      <c r="A92" s="45"/>
      <c r="B92" s="46" t="e">
        <f>+INDEX('Danh sách CBCNV'!B:B,MATCH(C92,'Danh sách CBCNV'!C:C,0))</f>
        <v>#N/A</v>
      </c>
      <c r="C92" s="54"/>
      <c r="D92" s="40"/>
      <c r="E92" s="48" t="str">
        <f t="shared" si="21"/>
        <v/>
      </c>
      <c r="F92" s="50"/>
      <c r="G92" s="49"/>
      <c r="H92" s="49"/>
      <c r="I92" s="52">
        <f t="shared" si="16"/>
        <v>0</v>
      </c>
      <c r="J92" s="52" t="str">
        <f t="shared" si="17"/>
        <v/>
      </c>
      <c r="K92" s="52" t="str">
        <f t="shared" si="18"/>
        <v/>
      </c>
      <c r="L92" s="52" t="str">
        <f t="shared" si="19"/>
        <v/>
      </c>
      <c r="M92" s="52">
        <f t="shared" si="20"/>
        <v>0</v>
      </c>
      <c r="N92" s="50"/>
      <c r="O92" s="39"/>
      <c r="P92" s="39"/>
      <c r="Q92" s="39"/>
    </row>
    <row r="93" spans="1:17" s="42" customFormat="1" ht="22.15" hidden="1" customHeight="1">
      <c r="A93" s="45"/>
      <c r="B93" s="46" t="e">
        <f>+INDEX('Danh sách CBCNV'!B:B,MATCH(C93,'Danh sách CBCNV'!C:C,0))</f>
        <v>#N/A</v>
      </c>
      <c r="C93" s="54"/>
      <c r="D93" s="40"/>
      <c r="E93" s="48" t="str">
        <f t="shared" si="21"/>
        <v/>
      </c>
      <c r="F93" s="50"/>
      <c r="G93" s="49"/>
      <c r="H93" s="49"/>
      <c r="I93" s="52">
        <f t="shared" si="16"/>
        <v>0</v>
      </c>
      <c r="J93" s="52" t="str">
        <f t="shared" si="17"/>
        <v/>
      </c>
      <c r="K93" s="52" t="str">
        <f t="shared" si="18"/>
        <v/>
      </c>
      <c r="L93" s="52" t="str">
        <f t="shared" si="19"/>
        <v/>
      </c>
      <c r="M93" s="52">
        <f t="shared" si="20"/>
        <v>0</v>
      </c>
      <c r="N93" s="50"/>
      <c r="O93" s="39"/>
      <c r="P93" s="39"/>
      <c r="Q93" s="39"/>
    </row>
    <row r="94" spans="1:17" s="42" customFormat="1" ht="22.15" hidden="1" customHeight="1">
      <c r="A94" s="45"/>
      <c r="B94" s="46" t="e">
        <f>+INDEX('Danh sách CBCNV'!B:B,MATCH(C94,'Danh sách CBCNV'!C:C,0))</f>
        <v>#N/A</v>
      </c>
      <c r="C94" s="54"/>
      <c r="D94" s="40"/>
      <c r="E94" s="48" t="str">
        <f t="shared" si="21"/>
        <v/>
      </c>
      <c r="F94" s="50"/>
      <c r="G94" s="49"/>
      <c r="H94" s="49"/>
      <c r="I94" s="52">
        <f t="shared" si="16"/>
        <v>0</v>
      </c>
      <c r="J94" s="52" t="str">
        <f t="shared" si="17"/>
        <v/>
      </c>
      <c r="K94" s="52" t="str">
        <f t="shared" si="18"/>
        <v/>
      </c>
      <c r="L94" s="52" t="str">
        <f t="shared" si="19"/>
        <v/>
      </c>
      <c r="M94" s="52">
        <f t="shared" si="20"/>
        <v>0</v>
      </c>
      <c r="N94" s="50"/>
      <c r="O94" s="39"/>
      <c r="P94" s="39"/>
      <c r="Q94" s="39"/>
    </row>
    <row r="95" spans="1:17" s="42" customFormat="1" ht="22.15" hidden="1" customHeight="1">
      <c r="A95" s="45"/>
      <c r="B95" s="46" t="e">
        <f>+INDEX('Danh sách CBCNV'!B:B,MATCH(C95,'Danh sách CBCNV'!C:C,0))</f>
        <v>#N/A</v>
      </c>
      <c r="C95" s="54"/>
      <c r="D95" s="40"/>
      <c r="E95" s="48" t="str">
        <f t="shared" si="21"/>
        <v/>
      </c>
      <c r="F95" s="50"/>
      <c r="G95" s="49"/>
      <c r="H95" s="49"/>
      <c r="I95" s="52">
        <f t="shared" si="16"/>
        <v>0</v>
      </c>
      <c r="J95" s="52" t="str">
        <f t="shared" si="17"/>
        <v/>
      </c>
      <c r="K95" s="52" t="str">
        <f t="shared" si="18"/>
        <v/>
      </c>
      <c r="L95" s="52" t="str">
        <f t="shared" si="19"/>
        <v/>
      </c>
      <c r="M95" s="52">
        <f t="shared" si="20"/>
        <v>0</v>
      </c>
      <c r="N95" s="50"/>
      <c r="O95" s="39"/>
      <c r="P95" s="39"/>
      <c r="Q95" s="39"/>
    </row>
    <row r="96" spans="1:17" s="42" customFormat="1" ht="22.15" hidden="1" customHeight="1">
      <c r="A96" s="45"/>
      <c r="B96" s="46" t="e">
        <f>+INDEX('Danh sách CBCNV'!B:B,MATCH(C96,'Danh sách CBCNV'!C:C,0))</f>
        <v>#N/A</v>
      </c>
      <c r="C96" s="54"/>
      <c r="D96" s="40"/>
      <c r="E96" s="48" t="str">
        <f t="shared" si="21"/>
        <v/>
      </c>
      <c r="F96" s="50"/>
      <c r="G96" s="49"/>
      <c r="H96" s="49"/>
      <c r="I96" s="52">
        <f t="shared" si="16"/>
        <v>0</v>
      </c>
      <c r="J96" s="52" t="str">
        <f t="shared" si="17"/>
        <v/>
      </c>
      <c r="K96" s="52" t="str">
        <f t="shared" si="18"/>
        <v/>
      </c>
      <c r="L96" s="52" t="str">
        <f t="shared" si="19"/>
        <v/>
      </c>
      <c r="M96" s="52">
        <f t="shared" si="20"/>
        <v>0</v>
      </c>
      <c r="N96" s="50"/>
      <c r="O96" s="39"/>
      <c r="P96" s="39"/>
      <c r="Q96" s="39"/>
    </row>
    <row r="97" spans="1:17" s="42" customFormat="1" ht="22.15" hidden="1" customHeight="1">
      <c r="A97" s="45"/>
      <c r="B97" s="46" t="e">
        <f>+INDEX('Danh sách CBCNV'!B:B,MATCH(C97,'Danh sách CBCNV'!C:C,0))</f>
        <v>#N/A</v>
      </c>
      <c r="C97" s="56"/>
      <c r="D97" s="40"/>
      <c r="E97" s="48" t="str">
        <f t="shared" si="21"/>
        <v/>
      </c>
      <c r="F97" s="50"/>
      <c r="G97" s="49"/>
      <c r="H97" s="49"/>
      <c r="I97" s="52">
        <f t="shared" si="16"/>
        <v>0</v>
      </c>
      <c r="J97" s="52" t="str">
        <f t="shared" si="17"/>
        <v/>
      </c>
      <c r="K97" s="52" t="str">
        <f t="shared" si="18"/>
        <v/>
      </c>
      <c r="L97" s="52" t="str">
        <f t="shared" si="19"/>
        <v/>
      </c>
      <c r="M97" s="52">
        <f t="shared" si="20"/>
        <v>0</v>
      </c>
      <c r="N97" s="50"/>
      <c r="O97" s="39"/>
      <c r="P97" s="39"/>
      <c r="Q97" s="39"/>
    </row>
    <row r="98" spans="1:17" s="42" customFormat="1" ht="22.15" hidden="1" customHeight="1">
      <c r="A98" s="45"/>
      <c r="B98" s="46" t="e">
        <f>+INDEX('Danh sách CBCNV'!B:B,MATCH(C98,'Danh sách CBCNV'!C:C,0))</f>
        <v>#N/A</v>
      </c>
      <c r="C98" s="55"/>
      <c r="D98" s="40"/>
      <c r="E98" s="48" t="str">
        <f t="shared" si="21"/>
        <v/>
      </c>
      <c r="F98" s="50"/>
      <c r="G98" s="49"/>
      <c r="H98" s="49"/>
      <c r="I98" s="52">
        <f t="shared" si="16"/>
        <v>0</v>
      </c>
      <c r="J98" s="52" t="str">
        <f t="shared" si="17"/>
        <v/>
      </c>
      <c r="K98" s="52" t="str">
        <f t="shared" si="18"/>
        <v/>
      </c>
      <c r="L98" s="52" t="str">
        <f t="shared" si="19"/>
        <v/>
      </c>
      <c r="M98" s="52">
        <f t="shared" si="20"/>
        <v>0</v>
      </c>
      <c r="N98" s="50"/>
      <c r="O98" s="39"/>
      <c r="P98" s="39"/>
      <c r="Q98" s="39"/>
    </row>
    <row r="99" spans="1:17" s="42" customFormat="1" ht="22.15" hidden="1" customHeight="1">
      <c r="A99" s="45"/>
      <c r="B99" s="46" t="e">
        <f>+INDEX('Danh sách CBCNV'!B:B,MATCH(C99,'Danh sách CBCNV'!C:C,0))</f>
        <v>#N/A</v>
      </c>
      <c r="C99" s="56"/>
      <c r="D99" s="40"/>
      <c r="E99" s="48" t="str">
        <f t="shared" si="21"/>
        <v/>
      </c>
      <c r="F99" s="50"/>
      <c r="G99" s="49"/>
      <c r="H99" s="49"/>
      <c r="I99" s="52">
        <f t="shared" si="16"/>
        <v>0</v>
      </c>
      <c r="J99" s="52" t="str">
        <f t="shared" si="17"/>
        <v/>
      </c>
      <c r="K99" s="52" t="str">
        <f t="shared" si="18"/>
        <v/>
      </c>
      <c r="L99" s="52" t="str">
        <f t="shared" si="19"/>
        <v/>
      </c>
      <c r="M99" s="52">
        <f t="shared" si="20"/>
        <v>0</v>
      </c>
      <c r="N99" s="50"/>
      <c r="O99" s="39"/>
      <c r="P99" s="39"/>
      <c r="Q99" s="39"/>
    </row>
    <row r="100" spans="1:17" s="42" customFormat="1" ht="22.15" hidden="1" customHeight="1">
      <c r="A100" s="45"/>
      <c r="B100" s="46" t="e">
        <f>+INDEX('Danh sách CBCNV'!B:B,MATCH(C100,'Danh sách CBCNV'!C:C,0))</f>
        <v>#N/A</v>
      </c>
      <c r="C100" s="54"/>
      <c r="D100" s="40"/>
      <c r="E100" s="48" t="str">
        <f t="shared" si="21"/>
        <v/>
      </c>
      <c r="F100" s="50"/>
      <c r="G100" s="49"/>
      <c r="H100" s="49"/>
      <c r="I100" s="52">
        <f t="shared" si="16"/>
        <v>0</v>
      </c>
      <c r="J100" s="52" t="str">
        <f t="shared" si="17"/>
        <v/>
      </c>
      <c r="K100" s="52" t="str">
        <f t="shared" si="18"/>
        <v/>
      </c>
      <c r="L100" s="52" t="str">
        <f t="shared" si="19"/>
        <v/>
      </c>
      <c r="M100" s="52">
        <f t="shared" si="20"/>
        <v>0</v>
      </c>
      <c r="N100" s="50"/>
      <c r="O100" s="39"/>
      <c r="P100" s="39"/>
      <c r="Q100" s="39"/>
    </row>
    <row r="101" spans="1:17" s="42" customFormat="1" ht="22.15" hidden="1" customHeight="1">
      <c r="A101" s="45"/>
      <c r="B101" s="46" t="e">
        <f>+INDEX('Danh sách CBCNV'!B:B,MATCH(C101,'Danh sách CBCNV'!C:C,0))</f>
        <v>#N/A</v>
      </c>
      <c r="C101" s="54"/>
      <c r="D101" s="40"/>
      <c r="E101" s="48" t="str">
        <f t="shared" si="21"/>
        <v/>
      </c>
      <c r="F101" s="50"/>
      <c r="G101" s="49"/>
      <c r="H101" s="49"/>
      <c r="I101" s="52">
        <f t="shared" si="16"/>
        <v>0</v>
      </c>
      <c r="J101" s="52" t="str">
        <f t="shared" si="17"/>
        <v/>
      </c>
      <c r="K101" s="52" t="str">
        <f t="shared" si="18"/>
        <v/>
      </c>
      <c r="L101" s="52" t="str">
        <f t="shared" si="19"/>
        <v/>
      </c>
      <c r="M101" s="52">
        <f t="shared" si="20"/>
        <v>0</v>
      </c>
      <c r="N101" s="50"/>
      <c r="O101" s="39"/>
      <c r="P101" s="39"/>
      <c r="Q101" s="39"/>
    </row>
    <row r="102" spans="1:17" s="42" customFormat="1" ht="22.15" hidden="1" customHeight="1">
      <c r="A102" s="45"/>
      <c r="B102" s="46" t="e">
        <f>+INDEX('Danh sách CBCNV'!B:B,MATCH(C102,'Danh sách CBCNV'!C:C,0))</f>
        <v>#N/A</v>
      </c>
      <c r="C102" s="55"/>
      <c r="D102" s="40"/>
      <c r="E102" s="48" t="str">
        <f t="shared" si="21"/>
        <v/>
      </c>
      <c r="F102" s="50"/>
      <c r="G102" s="49"/>
      <c r="H102" s="49"/>
      <c r="I102" s="52">
        <f t="shared" si="16"/>
        <v>0</v>
      </c>
      <c r="J102" s="52" t="str">
        <f t="shared" si="17"/>
        <v/>
      </c>
      <c r="K102" s="52" t="str">
        <f t="shared" si="18"/>
        <v/>
      </c>
      <c r="L102" s="52" t="str">
        <f t="shared" si="19"/>
        <v/>
      </c>
      <c r="M102" s="52">
        <f t="shared" si="20"/>
        <v>0</v>
      </c>
      <c r="N102" s="50"/>
      <c r="O102" s="39"/>
      <c r="P102" s="39"/>
      <c r="Q102" s="39"/>
    </row>
    <row r="103" spans="1:17" s="42" customFormat="1" ht="22.15" hidden="1" customHeight="1">
      <c r="A103" s="45"/>
      <c r="B103" s="46" t="e">
        <f>+INDEX('Danh sách CBCNV'!B:B,MATCH(C103,'Danh sách CBCNV'!C:C,0))</f>
        <v>#N/A</v>
      </c>
      <c r="C103" s="58"/>
      <c r="D103" s="40"/>
      <c r="E103" s="48" t="str">
        <f t="shared" si="21"/>
        <v/>
      </c>
      <c r="F103" s="50"/>
      <c r="G103" s="49"/>
      <c r="H103" s="49"/>
      <c r="I103" s="52">
        <f t="shared" si="16"/>
        <v>0</v>
      </c>
      <c r="J103" s="52" t="str">
        <f t="shared" si="17"/>
        <v/>
      </c>
      <c r="K103" s="52" t="str">
        <f t="shared" si="18"/>
        <v/>
      </c>
      <c r="L103" s="52" t="str">
        <f t="shared" si="19"/>
        <v/>
      </c>
      <c r="M103" s="52">
        <f t="shared" si="20"/>
        <v>0</v>
      </c>
      <c r="N103" s="50"/>
      <c r="O103" s="39"/>
      <c r="P103" s="39"/>
      <c r="Q103" s="39"/>
    </row>
    <row r="104" spans="1:17" s="42" customFormat="1" ht="22.15" hidden="1" customHeight="1">
      <c r="A104" s="45"/>
      <c r="B104" s="46" t="e">
        <f>+INDEX('Danh sách CBCNV'!B:B,MATCH(C104,'Danh sách CBCNV'!C:C,0))</f>
        <v>#N/A</v>
      </c>
      <c r="C104" s="57"/>
      <c r="D104" s="40"/>
      <c r="E104" s="48" t="str">
        <f t="shared" si="21"/>
        <v/>
      </c>
      <c r="F104" s="50"/>
      <c r="G104" s="49"/>
      <c r="H104" s="49"/>
      <c r="I104" s="52">
        <f t="shared" si="16"/>
        <v>0</v>
      </c>
      <c r="J104" s="52" t="str">
        <f t="shared" si="17"/>
        <v/>
      </c>
      <c r="K104" s="52" t="str">
        <f t="shared" si="18"/>
        <v/>
      </c>
      <c r="L104" s="52" t="str">
        <f t="shared" si="19"/>
        <v/>
      </c>
      <c r="M104" s="52">
        <f t="shared" si="20"/>
        <v>0</v>
      </c>
      <c r="N104" s="50"/>
      <c r="O104" s="39"/>
      <c r="P104" s="39"/>
      <c r="Q104" s="39"/>
    </row>
    <row r="105" spans="1:17" s="42" customFormat="1" ht="22.15" hidden="1" customHeight="1">
      <c r="A105" s="45"/>
      <c r="B105" s="46" t="e">
        <f>+INDEX('Danh sách CBCNV'!B:B,MATCH(C105,'Danh sách CBCNV'!C:C,0))</f>
        <v>#N/A</v>
      </c>
      <c r="C105" s="54"/>
      <c r="D105" s="40"/>
      <c r="E105" s="48" t="str">
        <f t="shared" si="21"/>
        <v/>
      </c>
      <c r="F105" s="50"/>
      <c r="G105" s="49"/>
      <c r="H105" s="49"/>
      <c r="I105" s="52">
        <f t="shared" si="16"/>
        <v>0</v>
      </c>
      <c r="J105" s="52" t="str">
        <f t="shared" si="17"/>
        <v/>
      </c>
      <c r="K105" s="52" t="str">
        <f t="shared" si="18"/>
        <v/>
      </c>
      <c r="L105" s="52" t="str">
        <f t="shared" si="19"/>
        <v/>
      </c>
      <c r="M105" s="52">
        <f t="shared" si="20"/>
        <v>0</v>
      </c>
      <c r="N105" s="50"/>
      <c r="O105" s="39"/>
      <c r="P105" s="39"/>
      <c r="Q105" s="39"/>
    </row>
    <row r="106" spans="1:17" s="42" customFormat="1" ht="22.15" hidden="1" customHeight="1">
      <c r="A106" s="45"/>
      <c r="B106" s="46" t="e">
        <f>+INDEX('Danh sách CBCNV'!B:B,MATCH(C106,'Danh sách CBCNV'!C:C,0))</f>
        <v>#N/A</v>
      </c>
      <c r="C106" s="54"/>
      <c r="D106" s="40"/>
      <c r="E106" s="48" t="str">
        <f t="shared" si="21"/>
        <v/>
      </c>
      <c r="F106" s="50"/>
      <c r="G106" s="49"/>
      <c r="H106" s="49"/>
      <c r="I106" s="52">
        <f t="shared" si="16"/>
        <v>0</v>
      </c>
      <c r="J106" s="52" t="str">
        <f t="shared" si="17"/>
        <v/>
      </c>
      <c r="K106" s="52" t="str">
        <f t="shared" si="18"/>
        <v/>
      </c>
      <c r="L106" s="52" t="str">
        <f t="shared" si="19"/>
        <v/>
      </c>
      <c r="M106" s="52">
        <f t="shared" si="20"/>
        <v>0</v>
      </c>
      <c r="N106" s="50"/>
      <c r="O106" s="39"/>
      <c r="P106" s="39"/>
      <c r="Q106" s="39"/>
    </row>
    <row r="107" spans="1:17" s="42" customFormat="1" ht="22.15" hidden="1" customHeight="1">
      <c r="A107" s="45"/>
      <c r="B107" s="46" t="e">
        <f>+INDEX('Danh sách CBCNV'!B:B,MATCH(C107,'Danh sách CBCNV'!C:C,0))</f>
        <v>#N/A</v>
      </c>
      <c r="C107" s="54"/>
      <c r="D107" s="40"/>
      <c r="E107" s="48" t="str">
        <f t="shared" si="21"/>
        <v/>
      </c>
      <c r="F107" s="50"/>
      <c r="G107" s="49"/>
      <c r="H107" s="49"/>
      <c r="I107" s="52">
        <f t="shared" si="16"/>
        <v>0</v>
      </c>
      <c r="J107" s="52" t="str">
        <f t="shared" si="17"/>
        <v/>
      </c>
      <c r="K107" s="52" t="str">
        <f t="shared" si="18"/>
        <v/>
      </c>
      <c r="L107" s="52" t="str">
        <f t="shared" si="19"/>
        <v/>
      </c>
      <c r="M107" s="52">
        <f t="shared" si="20"/>
        <v>0</v>
      </c>
      <c r="N107" s="50"/>
      <c r="O107" s="39"/>
      <c r="P107" s="39"/>
      <c r="Q107" s="39"/>
    </row>
    <row r="108" spans="1:17" s="42" customFormat="1" ht="22.15" hidden="1" customHeight="1">
      <c r="A108" s="45"/>
      <c r="B108" s="46" t="e">
        <f>+INDEX('Danh sách CBCNV'!B:B,MATCH(C108,'Danh sách CBCNV'!C:C,0))</f>
        <v>#N/A</v>
      </c>
      <c r="C108" s="54"/>
      <c r="D108" s="40"/>
      <c r="E108" s="48" t="str">
        <f t="shared" si="21"/>
        <v/>
      </c>
      <c r="F108" s="50"/>
      <c r="G108" s="49"/>
      <c r="H108" s="49"/>
      <c r="I108" s="52">
        <f t="shared" si="16"/>
        <v>0</v>
      </c>
      <c r="J108" s="52" t="str">
        <f t="shared" si="17"/>
        <v/>
      </c>
      <c r="K108" s="52" t="str">
        <f t="shared" si="18"/>
        <v/>
      </c>
      <c r="L108" s="52" t="str">
        <f t="shared" si="19"/>
        <v/>
      </c>
      <c r="M108" s="52">
        <f t="shared" si="20"/>
        <v>0</v>
      </c>
      <c r="N108" s="50"/>
      <c r="O108" s="39"/>
      <c r="P108" s="39"/>
      <c r="Q108" s="39"/>
    </row>
    <row r="109" spans="1:17" s="42" customFormat="1" ht="22.15" hidden="1" customHeight="1">
      <c r="A109" s="45"/>
      <c r="B109" s="46" t="e">
        <f>+INDEX('Danh sách CBCNV'!B:B,MATCH(C109,'Danh sách CBCNV'!C:C,0))</f>
        <v>#N/A</v>
      </c>
      <c r="C109" s="54"/>
      <c r="D109" s="40"/>
      <c r="E109" s="48" t="str">
        <f t="shared" si="21"/>
        <v/>
      </c>
      <c r="F109" s="50"/>
      <c r="G109" s="49"/>
      <c r="H109" s="49"/>
      <c r="I109" s="52">
        <f t="shared" si="16"/>
        <v>0</v>
      </c>
      <c r="J109" s="52" t="str">
        <f t="shared" si="17"/>
        <v/>
      </c>
      <c r="K109" s="52" t="str">
        <f t="shared" si="18"/>
        <v/>
      </c>
      <c r="L109" s="52" t="str">
        <f t="shared" si="19"/>
        <v/>
      </c>
      <c r="M109" s="52">
        <f t="shared" si="20"/>
        <v>0</v>
      </c>
      <c r="N109" s="50"/>
      <c r="O109" s="39"/>
      <c r="P109" s="39"/>
      <c r="Q109" s="39"/>
    </row>
    <row r="110" spans="1:17" s="42" customFormat="1" ht="22.15" hidden="1" customHeight="1">
      <c r="A110" s="45"/>
      <c r="B110" s="46" t="e">
        <f>+INDEX('Danh sách CBCNV'!B:B,MATCH(C110,'Danh sách CBCNV'!C:C,0))</f>
        <v>#N/A</v>
      </c>
      <c r="C110" s="54"/>
      <c r="D110" s="40"/>
      <c r="E110" s="48" t="str">
        <f t="shared" si="21"/>
        <v/>
      </c>
      <c r="F110" s="50"/>
      <c r="G110" s="49"/>
      <c r="H110" s="49"/>
      <c r="I110" s="52">
        <f t="shared" si="16"/>
        <v>0</v>
      </c>
      <c r="J110" s="52" t="str">
        <f t="shared" si="17"/>
        <v/>
      </c>
      <c r="K110" s="52" t="str">
        <f t="shared" si="18"/>
        <v/>
      </c>
      <c r="L110" s="52" t="str">
        <f t="shared" si="19"/>
        <v/>
      </c>
      <c r="M110" s="52">
        <f t="shared" si="20"/>
        <v>0</v>
      </c>
      <c r="N110" s="50"/>
      <c r="O110" s="39"/>
      <c r="P110" s="39"/>
      <c r="Q110" s="39"/>
    </row>
    <row r="111" spans="1:17" s="42" customFormat="1" ht="22.15" hidden="1" customHeight="1">
      <c r="A111" s="45"/>
      <c r="B111" s="46" t="e">
        <f>+INDEX('Danh sách CBCNV'!B:B,MATCH(C111,'Danh sách CBCNV'!C:C,0))</f>
        <v>#N/A</v>
      </c>
      <c r="C111" s="54"/>
      <c r="D111" s="40"/>
      <c r="E111" s="48" t="str">
        <f t="shared" si="21"/>
        <v/>
      </c>
      <c r="F111" s="50"/>
      <c r="G111" s="49"/>
      <c r="H111" s="49"/>
      <c r="I111" s="52">
        <f t="shared" si="16"/>
        <v>0</v>
      </c>
      <c r="J111" s="52" t="str">
        <f t="shared" si="17"/>
        <v/>
      </c>
      <c r="K111" s="52" t="str">
        <f t="shared" si="18"/>
        <v/>
      </c>
      <c r="L111" s="52" t="str">
        <f t="shared" si="19"/>
        <v/>
      </c>
      <c r="M111" s="52">
        <f t="shared" si="20"/>
        <v>0</v>
      </c>
      <c r="N111" s="50"/>
      <c r="O111" s="39"/>
      <c r="P111" s="39"/>
      <c r="Q111" s="39"/>
    </row>
    <row r="112" spans="1:17" s="42" customFormat="1" ht="22.15" hidden="1" customHeight="1">
      <c r="A112" s="45"/>
      <c r="B112" s="46" t="e">
        <f>+INDEX('Danh sách CBCNV'!B:B,MATCH(C112,'Danh sách CBCNV'!C:C,0))</f>
        <v>#N/A</v>
      </c>
      <c r="C112" s="54"/>
      <c r="D112" s="40"/>
      <c r="E112" s="48" t="str">
        <f t="shared" si="21"/>
        <v/>
      </c>
      <c r="F112" s="50"/>
      <c r="G112" s="49"/>
      <c r="H112" s="49"/>
      <c r="I112" s="52">
        <f t="shared" si="16"/>
        <v>0</v>
      </c>
      <c r="J112" s="52" t="str">
        <f t="shared" si="17"/>
        <v/>
      </c>
      <c r="K112" s="52" t="str">
        <f t="shared" si="18"/>
        <v/>
      </c>
      <c r="L112" s="52" t="str">
        <f t="shared" si="19"/>
        <v/>
      </c>
      <c r="M112" s="52">
        <f t="shared" si="20"/>
        <v>0</v>
      </c>
      <c r="N112" s="50"/>
      <c r="O112" s="39"/>
      <c r="P112" s="39"/>
      <c r="Q112" s="39"/>
    </row>
    <row r="113" spans="1:17" s="42" customFormat="1" ht="22.15" hidden="1" customHeight="1">
      <c r="A113" s="45"/>
      <c r="B113" s="46" t="e">
        <f>+INDEX('Danh sách CBCNV'!B:B,MATCH(C113,'Danh sách CBCNV'!C:C,0))</f>
        <v>#N/A</v>
      </c>
      <c r="C113" s="56"/>
      <c r="D113" s="40"/>
      <c r="E113" s="48" t="str">
        <f t="shared" si="21"/>
        <v/>
      </c>
      <c r="F113" s="50"/>
      <c r="G113" s="49"/>
      <c r="H113" s="49"/>
      <c r="I113" s="52">
        <f t="shared" si="16"/>
        <v>0</v>
      </c>
      <c r="J113" s="52" t="str">
        <f t="shared" si="17"/>
        <v/>
      </c>
      <c r="K113" s="52" t="str">
        <f t="shared" si="18"/>
        <v/>
      </c>
      <c r="L113" s="52" t="str">
        <f t="shared" si="19"/>
        <v/>
      </c>
      <c r="M113" s="52">
        <f t="shared" si="20"/>
        <v>0</v>
      </c>
      <c r="N113" s="50"/>
      <c r="O113" s="39"/>
      <c r="P113" s="39"/>
      <c r="Q113" s="39"/>
    </row>
    <row r="114" spans="1:17" s="42" customFormat="1" ht="22.15" hidden="1" customHeight="1">
      <c r="A114" s="45"/>
      <c r="B114" s="46" t="e">
        <f>+INDEX('Danh sách CBCNV'!B:B,MATCH(C114,'Danh sách CBCNV'!C:C,0))</f>
        <v>#N/A</v>
      </c>
      <c r="C114" s="55"/>
      <c r="D114" s="40"/>
      <c r="E114" s="48" t="str">
        <f t="shared" si="21"/>
        <v/>
      </c>
      <c r="F114" s="50"/>
      <c r="G114" s="49"/>
      <c r="H114" s="49"/>
      <c r="I114" s="52">
        <f t="shared" si="16"/>
        <v>0</v>
      </c>
      <c r="J114" s="52" t="str">
        <f t="shared" si="17"/>
        <v/>
      </c>
      <c r="K114" s="52" t="str">
        <f t="shared" si="18"/>
        <v/>
      </c>
      <c r="L114" s="52" t="str">
        <f t="shared" si="19"/>
        <v/>
      </c>
      <c r="M114" s="52">
        <f t="shared" si="20"/>
        <v>0</v>
      </c>
      <c r="N114" s="50"/>
      <c r="O114" s="39"/>
      <c r="P114" s="39"/>
      <c r="Q114" s="39"/>
    </row>
    <row r="115" spans="1:17" s="42" customFormat="1" ht="22.15" hidden="1" customHeight="1">
      <c r="A115" s="45"/>
      <c r="B115" s="46" t="e">
        <f>+INDEX('Danh sách CBCNV'!B:B,MATCH(C115,'Danh sách CBCNV'!C:C,0))</f>
        <v>#N/A</v>
      </c>
      <c r="C115" s="56"/>
      <c r="D115" s="40"/>
      <c r="E115" s="48" t="str">
        <f t="shared" si="21"/>
        <v/>
      </c>
      <c r="F115" s="50"/>
      <c r="G115" s="49"/>
      <c r="H115" s="49"/>
      <c r="I115" s="52">
        <f t="shared" si="16"/>
        <v>0</v>
      </c>
      <c r="J115" s="52" t="str">
        <f t="shared" si="17"/>
        <v/>
      </c>
      <c r="K115" s="52" t="str">
        <f t="shared" si="18"/>
        <v/>
      </c>
      <c r="L115" s="52" t="str">
        <f t="shared" si="19"/>
        <v/>
      </c>
      <c r="M115" s="52">
        <f t="shared" si="20"/>
        <v>0</v>
      </c>
      <c r="N115" s="50"/>
      <c r="O115" s="39"/>
      <c r="P115" s="39"/>
      <c r="Q115" s="39"/>
    </row>
    <row r="116" spans="1:17" s="42" customFormat="1" ht="22.15" hidden="1" customHeight="1">
      <c r="A116" s="45"/>
      <c r="B116" s="46" t="e">
        <f>+INDEX('Danh sách CBCNV'!B:B,MATCH(C116,'Danh sách CBCNV'!C:C,0))</f>
        <v>#N/A</v>
      </c>
      <c r="C116" s="54"/>
      <c r="D116" s="40"/>
      <c r="E116" s="48" t="str">
        <f t="shared" si="21"/>
        <v/>
      </c>
      <c r="F116" s="50"/>
      <c r="G116" s="49"/>
      <c r="H116" s="49"/>
      <c r="I116" s="52">
        <f t="shared" si="16"/>
        <v>0</v>
      </c>
      <c r="J116" s="52" t="str">
        <f t="shared" si="17"/>
        <v/>
      </c>
      <c r="K116" s="52" t="str">
        <f t="shared" si="18"/>
        <v/>
      </c>
      <c r="L116" s="52" t="str">
        <f t="shared" si="19"/>
        <v/>
      </c>
      <c r="M116" s="52">
        <f t="shared" si="20"/>
        <v>0</v>
      </c>
      <c r="N116" s="50"/>
      <c r="O116" s="39"/>
      <c r="P116" s="39"/>
      <c r="Q116" s="39"/>
    </row>
    <row r="117" spans="1:17" s="42" customFormat="1" ht="22.15" hidden="1" customHeight="1">
      <c r="A117" s="45"/>
      <c r="B117" s="46" t="e">
        <f>+INDEX('Danh sách CBCNV'!B:B,MATCH(C117,'Danh sách CBCNV'!C:C,0))</f>
        <v>#N/A</v>
      </c>
      <c r="C117" s="54"/>
      <c r="D117" s="40"/>
      <c r="E117" s="48" t="str">
        <f t="shared" si="21"/>
        <v/>
      </c>
      <c r="F117" s="50"/>
      <c r="G117" s="49"/>
      <c r="H117" s="49"/>
      <c r="I117" s="52">
        <f t="shared" si="16"/>
        <v>0</v>
      </c>
      <c r="J117" s="52" t="str">
        <f t="shared" si="17"/>
        <v/>
      </c>
      <c r="K117" s="52" t="str">
        <f t="shared" si="18"/>
        <v/>
      </c>
      <c r="L117" s="52" t="str">
        <f t="shared" si="19"/>
        <v/>
      </c>
      <c r="M117" s="52">
        <f t="shared" si="20"/>
        <v>0</v>
      </c>
      <c r="N117" s="50"/>
      <c r="O117" s="39"/>
      <c r="P117" s="39"/>
      <c r="Q117" s="39"/>
    </row>
    <row r="118" spans="1:17" s="42" customFormat="1" ht="22.15" hidden="1" customHeight="1">
      <c r="A118" s="45"/>
      <c r="B118" s="46" t="e">
        <f>+INDEX('Danh sách CBCNV'!B:B,MATCH(C118,'Danh sách CBCNV'!C:C,0))</f>
        <v>#N/A</v>
      </c>
      <c r="C118" s="55"/>
      <c r="D118" s="40"/>
      <c r="E118" s="48" t="str">
        <f t="shared" ref="E118:E141" si="22">+IF(D118&lt;&gt;"",CHOOSE(WEEKDAY(D118),"CN","T2","T3","T4","T5","T6","T7"),"")</f>
        <v/>
      </c>
      <c r="F118" s="50"/>
      <c r="G118" s="49"/>
      <c r="H118" s="49"/>
      <c r="I118" s="52">
        <f t="shared" si="16"/>
        <v>0</v>
      </c>
      <c r="J118" s="52" t="str">
        <f t="shared" si="17"/>
        <v/>
      </c>
      <c r="K118" s="52" t="str">
        <f t="shared" si="18"/>
        <v/>
      </c>
      <c r="L118" s="52" t="str">
        <f t="shared" si="19"/>
        <v/>
      </c>
      <c r="M118" s="52">
        <f t="shared" si="20"/>
        <v>0</v>
      </c>
      <c r="N118" s="50"/>
      <c r="O118" s="39"/>
      <c r="P118" s="39"/>
      <c r="Q118" s="39"/>
    </row>
    <row r="119" spans="1:17" s="42" customFormat="1" ht="22.15" hidden="1" customHeight="1">
      <c r="A119" s="45"/>
      <c r="B119" s="46" t="e">
        <f>+INDEX('Danh sách CBCNV'!B:B,MATCH(C119,'Danh sách CBCNV'!C:C,0))</f>
        <v>#N/A</v>
      </c>
      <c r="C119" s="58"/>
      <c r="D119" s="40"/>
      <c r="E119" s="48" t="str">
        <f t="shared" si="22"/>
        <v/>
      </c>
      <c r="F119" s="50"/>
      <c r="G119" s="49"/>
      <c r="H119" s="49"/>
      <c r="I119" s="52">
        <f t="shared" si="16"/>
        <v>0</v>
      </c>
      <c r="J119" s="52" t="str">
        <f t="shared" si="17"/>
        <v/>
      </c>
      <c r="K119" s="52" t="str">
        <f t="shared" si="18"/>
        <v/>
      </c>
      <c r="L119" s="52" t="str">
        <f t="shared" si="19"/>
        <v/>
      </c>
      <c r="M119" s="52">
        <f t="shared" si="20"/>
        <v>0</v>
      </c>
      <c r="N119" s="50"/>
      <c r="O119" s="39"/>
      <c r="P119" s="39"/>
      <c r="Q119" s="39"/>
    </row>
    <row r="120" spans="1:17" s="42" customFormat="1" ht="22.15" hidden="1" customHeight="1">
      <c r="A120" s="45"/>
      <c r="B120" s="46" t="e">
        <f>+INDEX('Danh sách CBCNV'!B:B,MATCH(C120,'Danh sách CBCNV'!C:C,0))</f>
        <v>#N/A</v>
      </c>
      <c r="C120" s="57"/>
      <c r="D120" s="40"/>
      <c r="E120" s="48" t="str">
        <f t="shared" si="22"/>
        <v/>
      </c>
      <c r="F120" s="50"/>
      <c r="G120" s="49"/>
      <c r="H120" s="49"/>
      <c r="I120" s="52">
        <f t="shared" si="16"/>
        <v>0</v>
      </c>
      <c r="J120" s="52" t="str">
        <f t="shared" si="17"/>
        <v/>
      </c>
      <c r="K120" s="52" t="str">
        <f t="shared" si="18"/>
        <v/>
      </c>
      <c r="L120" s="52" t="str">
        <f t="shared" si="19"/>
        <v/>
      </c>
      <c r="M120" s="52">
        <f t="shared" si="20"/>
        <v>0</v>
      </c>
      <c r="N120" s="50"/>
      <c r="O120" s="39"/>
      <c r="P120" s="39"/>
      <c r="Q120" s="39"/>
    </row>
    <row r="121" spans="1:17" s="42" customFormat="1" ht="22.15" hidden="1" customHeight="1">
      <c r="A121" s="45"/>
      <c r="B121" s="46" t="e">
        <f>+INDEX('Danh sách CBCNV'!B:B,MATCH(C121,'Danh sách CBCNV'!C:C,0))</f>
        <v>#N/A</v>
      </c>
      <c r="C121" s="54"/>
      <c r="D121" s="40"/>
      <c r="E121" s="48" t="str">
        <f t="shared" si="22"/>
        <v/>
      </c>
      <c r="F121" s="50"/>
      <c r="G121" s="49"/>
      <c r="H121" s="49"/>
      <c r="I121" s="52">
        <f t="shared" si="16"/>
        <v>0</v>
      </c>
      <c r="J121" s="52" t="str">
        <f t="shared" si="17"/>
        <v/>
      </c>
      <c r="K121" s="52" t="str">
        <f t="shared" si="18"/>
        <v/>
      </c>
      <c r="L121" s="52" t="str">
        <f t="shared" si="19"/>
        <v/>
      </c>
      <c r="M121" s="52">
        <f t="shared" si="20"/>
        <v>0</v>
      </c>
      <c r="N121" s="50"/>
      <c r="O121" s="39"/>
      <c r="P121" s="39"/>
      <c r="Q121" s="39"/>
    </row>
    <row r="122" spans="1:17" s="42" customFormat="1" ht="22.15" hidden="1" customHeight="1">
      <c r="A122" s="45"/>
      <c r="B122" s="46" t="e">
        <f>+INDEX('Danh sách CBCNV'!B:B,MATCH(C122,'Danh sách CBCNV'!C:C,0))</f>
        <v>#N/A</v>
      </c>
      <c r="C122" s="54"/>
      <c r="D122" s="40"/>
      <c r="E122" s="48" t="str">
        <f t="shared" si="22"/>
        <v/>
      </c>
      <c r="F122" s="50"/>
      <c r="G122" s="49"/>
      <c r="H122" s="49"/>
      <c r="I122" s="52">
        <f t="shared" si="16"/>
        <v>0</v>
      </c>
      <c r="J122" s="52" t="str">
        <f t="shared" si="17"/>
        <v/>
      </c>
      <c r="K122" s="52" t="str">
        <f t="shared" si="18"/>
        <v/>
      </c>
      <c r="L122" s="52" t="str">
        <f t="shared" si="19"/>
        <v/>
      </c>
      <c r="M122" s="52">
        <f t="shared" si="20"/>
        <v>0</v>
      </c>
      <c r="N122" s="50"/>
      <c r="O122" s="39"/>
      <c r="P122" s="39"/>
      <c r="Q122" s="39"/>
    </row>
    <row r="123" spans="1:17" s="42" customFormat="1" ht="22.15" hidden="1" customHeight="1">
      <c r="A123" s="45"/>
      <c r="B123" s="46" t="e">
        <f>+INDEX('Danh sách CBCNV'!B:B,MATCH(C123,'Danh sách CBCNV'!C:C,0))</f>
        <v>#N/A</v>
      </c>
      <c r="C123" s="54"/>
      <c r="D123" s="40"/>
      <c r="E123" s="48" t="str">
        <f t="shared" si="22"/>
        <v/>
      </c>
      <c r="F123" s="50"/>
      <c r="G123" s="49"/>
      <c r="H123" s="49"/>
      <c r="I123" s="52">
        <f t="shared" si="16"/>
        <v>0</v>
      </c>
      <c r="J123" s="52" t="str">
        <f t="shared" si="17"/>
        <v/>
      </c>
      <c r="K123" s="52" t="str">
        <f t="shared" si="18"/>
        <v/>
      </c>
      <c r="L123" s="52" t="str">
        <f t="shared" si="19"/>
        <v/>
      </c>
      <c r="M123" s="52">
        <f t="shared" si="20"/>
        <v>0</v>
      </c>
      <c r="N123" s="50"/>
      <c r="O123" s="39"/>
      <c r="P123" s="39"/>
      <c r="Q123" s="39"/>
    </row>
    <row r="124" spans="1:17" s="42" customFormat="1" ht="22.15" hidden="1" customHeight="1">
      <c r="A124" s="45"/>
      <c r="B124" s="46" t="e">
        <f>+INDEX('Danh sách CBCNV'!B:B,MATCH(C124,'Danh sách CBCNV'!C:C,0))</f>
        <v>#N/A</v>
      </c>
      <c r="C124" s="54"/>
      <c r="D124" s="40"/>
      <c r="E124" s="48" t="str">
        <f t="shared" si="22"/>
        <v/>
      </c>
      <c r="F124" s="50"/>
      <c r="G124" s="49"/>
      <c r="H124" s="49"/>
      <c r="I124" s="52">
        <f t="shared" si="16"/>
        <v>0</v>
      </c>
      <c r="J124" s="52" t="str">
        <f t="shared" si="17"/>
        <v/>
      </c>
      <c r="K124" s="52" t="str">
        <f t="shared" si="18"/>
        <v/>
      </c>
      <c r="L124" s="52" t="str">
        <f t="shared" si="19"/>
        <v/>
      </c>
      <c r="M124" s="52">
        <f t="shared" si="20"/>
        <v>0</v>
      </c>
      <c r="N124" s="50"/>
      <c r="O124" s="39"/>
      <c r="P124" s="39"/>
      <c r="Q124" s="39"/>
    </row>
    <row r="125" spans="1:17" s="42" customFormat="1" ht="22.15" hidden="1" customHeight="1">
      <c r="A125" s="45"/>
      <c r="B125" s="46" t="e">
        <f>+INDEX('Danh sách CBCNV'!B:B,MATCH(C125,'Danh sách CBCNV'!C:C,0))</f>
        <v>#N/A</v>
      </c>
      <c r="C125" s="55"/>
      <c r="D125" s="40"/>
      <c r="E125" s="48" t="str">
        <f t="shared" si="22"/>
        <v/>
      </c>
      <c r="F125" s="50"/>
      <c r="G125" s="49"/>
      <c r="H125" s="49"/>
      <c r="I125" s="52">
        <f t="shared" si="16"/>
        <v>0</v>
      </c>
      <c r="J125" s="52" t="str">
        <f t="shared" si="17"/>
        <v/>
      </c>
      <c r="K125" s="52" t="str">
        <f t="shared" si="18"/>
        <v/>
      </c>
      <c r="L125" s="52" t="str">
        <f t="shared" si="19"/>
        <v/>
      </c>
      <c r="M125" s="52">
        <f t="shared" si="20"/>
        <v>0</v>
      </c>
      <c r="N125" s="50"/>
      <c r="O125" s="39"/>
      <c r="P125" s="39"/>
      <c r="Q125" s="39"/>
    </row>
    <row r="126" spans="1:17" s="42" customFormat="1" ht="22.15" hidden="1" customHeight="1">
      <c r="A126" s="45"/>
      <c r="B126" s="46" t="e">
        <f>+INDEX('Danh sách CBCNV'!B:B,MATCH(C126,'Danh sách CBCNV'!C:C,0))</f>
        <v>#N/A</v>
      </c>
      <c r="C126" s="54"/>
      <c r="D126" s="40"/>
      <c r="E126" s="48" t="str">
        <f t="shared" si="22"/>
        <v/>
      </c>
      <c r="F126" s="50"/>
      <c r="G126" s="49"/>
      <c r="H126" s="49"/>
      <c r="I126" s="52">
        <f t="shared" si="16"/>
        <v>0</v>
      </c>
      <c r="J126" s="52" t="str">
        <f t="shared" si="17"/>
        <v/>
      </c>
      <c r="K126" s="52" t="str">
        <f t="shared" si="18"/>
        <v/>
      </c>
      <c r="L126" s="52" t="str">
        <f t="shared" si="19"/>
        <v/>
      </c>
      <c r="M126" s="52">
        <f t="shared" si="20"/>
        <v>0</v>
      </c>
      <c r="N126" s="50"/>
      <c r="O126" s="39"/>
      <c r="P126" s="39"/>
      <c r="Q126" s="39"/>
    </row>
    <row r="127" spans="1:17" s="42" customFormat="1" ht="22.15" hidden="1" customHeight="1">
      <c r="A127" s="45"/>
      <c r="B127" s="46" t="e">
        <f>+INDEX('Danh sách CBCNV'!B:B,MATCH(C127,'Danh sách CBCNV'!C:C,0))</f>
        <v>#N/A</v>
      </c>
      <c r="C127" s="54"/>
      <c r="D127" s="40"/>
      <c r="E127" s="48" t="str">
        <f t="shared" si="22"/>
        <v/>
      </c>
      <c r="F127" s="50"/>
      <c r="G127" s="49"/>
      <c r="H127" s="49"/>
      <c r="I127" s="52">
        <f t="shared" si="16"/>
        <v>0</v>
      </c>
      <c r="J127" s="52" t="str">
        <f t="shared" si="17"/>
        <v/>
      </c>
      <c r="K127" s="52" t="str">
        <f t="shared" si="18"/>
        <v/>
      </c>
      <c r="L127" s="52" t="str">
        <f t="shared" si="19"/>
        <v/>
      </c>
      <c r="M127" s="52">
        <f t="shared" si="20"/>
        <v>0</v>
      </c>
      <c r="N127" s="50"/>
      <c r="O127" s="39"/>
      <c r="P127" s="39"/>
      <c r="Q127" s="39"/>
    </row>
    <row r="128" spans="1:17" s="42" customFormat="1" ht="22.15" hidden="1" customHeight="1">
      <c r="A128" s="45"/>
      <c r="B128" s="46" t="e">
        <f>+INDEX('Danh sách CBCNV'!B:B,MATCH(C128,'Danh sách CBCNV'!C:C,0))</f>
        <v>#N/A</v>
      </c>
      <c r="C128" s="54"/>
      <c r="D128" s="40"/>
      <c r="E128" s="48" t="str">
        <f t="shared" si="22"/>
        <v/>
      </c>
      <c r="F128" s="50"/>
      <c r="G128" s="49"/>
      <c r="H128" s="49"/>
      <c r="I128" s="52">
        <f t="shared" si="16"/>
        <v>0</v>
      </c>
      <c r="J128" s="52" t="str">
        <f t="shared" si="17"/>
        <v/>
      </c>
      <c r="K128" s="52" t="str">
        <f t="shared" si="18"/>
        <v/>
      </c>
      <c r="L128" s="52" t="str">
        <f t="shared" si="19"/>
        <v/>
      </c>
      <c r="M128" s="52">
        <f t="shared" si="20"/>
        <v>0</v>
      </c>
      <c r="N128" s="50"/>
      <c r="O128" s="39"/>
      <c r="P128" s="39"/>
      <c r="Q128" s="39"/>
    </row>
    <row r="129" spans="1:17" s="42" customFormat="1" ht="22.15" hidden="1" customHeight="1">
      <c r="A129" s="45"/>
      <c r="B129" s="46" t="e">
        <f>+INDEX('Danh sách CBCNV'!B:B,MATCH(C129,'Danh sách CBCNV'!C:C,0))</f>
        <v>#N/A</v>
      </c>
      <c r="C129" s="54"/>
      <c r="D129" s="40"/>
      <c r="E129" s="48" t="str">
        <f t="shared" si="22"/>
        <v/>
      </c>
      <c r="F129" s="50"/>
      <c r="G129" s="49"/>
      <c r="H129" s="49"/>
      <c r="I129" s="52">
        <f t="shared" si="16"/>
        <v>0</v>
      </c>
      <c r="J129" s="52" t="str">
        <f t="shared" si="17"/>
        <v/>
      </c>
      <c r="K129" s="52" t="str">
        <f t="shared" si="18"/>
        <v/>
      </c>
      <c r="L129" s="52" t="str">
        <f t="shared" si="19"/>
        <v/>
      </c>
      <c r="M129" s="52">
        <f t="shared" si="20"/>
        <v>0</v>
      </c>
      <c r="N129" s="50"/>
      <c r="O129" s="39"/>
      <c r="P129" s="39"/>
      <c r="Q129" s="39"/>
    </row>
    <row r="130" spans="1:17" s="42" customFormat="1" ht="22.15" hidden="1" customHeight="1">
      <c r="A130" s="45"/>
      <c r="B130" s="46" t="e">
        <f>+INDEX('Danh sách CBCNV'!B:B,MATCH(C130,'Danh sách CBCNV'!C:C,0))</f>
        <v>#N/A</v>
      </c>
      <c r="C130" s="54"/>
      <c r="D130" s="40"/>
      <c r="E130" s="48" t="str">
        <f t="shared" si="22"/>
        <v/>
      </c>
      <c r="F130" s="50"/>
      <c r="G130" s="49"/>
      <c r="H130" s="49"/>
      <c r="I130" s="52">
        <f t="shared" si="16"/>
        <v>0</v>
      </c>
      <c r="J130" s="52" t="str">
        <f t="shared" si="17"/>
        <v/>
      </c>
      <c r="K130" s="52" t="str">
        <f t="shared" si="18"/>
        <v/>
      </c>
      <c r="L130" s="52" t="str">
        <f t="shared" si="19"/>
        <v/>
      </c>
      <c r="M130" s="52">
        <f t="shared" si="20"/>
        <v>0</v>
      </c>
      <c r="N130" s="50"/>
      <c r="O130" s="39"/>
      <c r="P130" s="39"/>
      <c r="Q130" s="39"/>
    </row>
    <row r="131" spans="1:17" s="42" customFormat="1" ht="22.15" hidden="1" customHeight="1">
      <c r="A131" s="45"/>
      <c r="B131" s="46" t="e">
        <f>+INDEX('Danh sách CBCNV'!B:B,MATCH(C131,'Danh sách CBCNV'!C:C,0))</f>
        <v>#N/A</v>
      </c>
      <c r="C131" s="56"/>
      <c r="D131" s="40"/>
      <c r="E131" s="48" t="str">
        <f t="shared" si="22"/>
        <v/>
      </c>
      <c r="F131" s="50"/>
      <c r="G131" s="49"/>
      <c r="H131" s="49"/>
      <c r="I131" s="52">
        <f t="shared" si="16"/>
        <v>0</v>
      </c>
      <c r="J131" s="52" t="str">
        <f t="shared" si="17"/>
        <v/>
      </c>
      <c r="K131" s="52" t="str">
        <f t="shared" si="18"/>
        <v/>
      </c>
      <c r="L131" s="52" t="str">
        <f t="shared" si="19"/>
        <v/>
      </c>
      <c r="M131" s="52">
        <f t="shared" si="20"/>
        <v>0</v>
      </c>
      <c r="N131" s="50"/>
      <c r="O131" s="39"/>
      <c r="P131" s="39"/>
      <c r="Q131" s="39"/>
    </row>
    <row r="132" spans="1:17" s="42" customFormat="1" ht="22.15" hidden="1" customHeight="1">
      <c r="A132" s="45"/>
      <c r="B132" s="46" t="e">
        <f>+INDEX('Danh sách CBCNV'!B:B,MATCH(C132,'Danh sách CBCNV'!C:C,0))</f>
        <v>#N/A</v>
      </c>
      <c r="C132" s="55"/>
      <c r="D132" s="40"/>
      <c r="E132" s="48" t="str">
        <f t="shared" si="22"/>
        <v/>
      </c>
      <c r="F132" s="50"/>
      <c r="G132" s="49"/>
      <c r="H132" s="49"/>
      <c r="I132" s="52">
        <f t="shared" si="16"/>
        <v>0</v>
      </c>
      <c r="J132" s="52" t="str">
        <f t="shared" si="17"/>
        <v/>
      </c>
      <c r="K132" s="52" t="str">
        <f t="shared" si="18"/>
        <v/>
      </c>
      <c r="L132" s="52" t="str">
        <f t="shared" si="19"/>
        <v/>
      </c>
      <c r="M132" s="52">
        <f t="shared" si="20"/>
        <v>0</v>
      </c>
      <c r="N132" s="50"/>
      <c r="O132" s="39"/>
      <c r="P132" s="39"/>
      <c r="Q132" s="39"/>
    </row>
    <row r="133" spans="1:17" s="42" customFormat="1" ht="22.15" hidden="1" customHeight="1">
      <c r="A133" s="45"/>
      <c r="B133" s="46" t="e">
        <f>+INDEX('Danh sách CBCNV'!B:B,MATCH(C133,'Danh sách CBCNV'!C:C,0))</f>
        <v>#N/A</v>
      </c>
      <c r="C133" s="56"/>
      <c r="D133" s="40"/>
      <c r="E133" s="48" t="str">
        <f t="shared" si="22"/>
        <v/>
      </c>
      <c r="F133" s="50"/>
      <c r="G133" s="49"/>
      <c r="H133" s="49"/>
      <c r="I133" s="52">
        <f t="shared" si="16"/>
        <v>0</v>
      </c>
      <c r="J133" s="52" t="str">
        <f t="shared" si="17"/>
        <v/>
      </c>
      <c r="K133" s="52" t="str">
        <f t="shared" si="18"/>
        <v/>
      </c>
      <c r="L133" s="52" t="str">
        <f t="shared" si="19"/>
        <v/>
      </c>
      <c r="M133" s="52">
        <f t="shared" si="20"/>
        <v>0</v>
      </c>
      <c r="N133" s="50"/>
      <c r="O133" s="39"/>
      <c r="P133" s="39"/>
      <c r="Q133" s="39"/>
    </row>
    <row r="134" spans="1:17" s="42" customFormat="1" ht="22.15" hidden="1" customHeight="1">
      <c r="A134" s="45"/>
      <c r="B134" s="46" t="e">
        <f>+INDEX('Danh sách CBCNV'!B:B,MATCH(C134,'Danh sách CBCNV'!C:C,0))</f>
        <v>#N/A</v>
      </c>
      <c r="C134" s="54"/>
      <c r="D134" s="40"/>
      <c r="E134" s="48" t="str">
        <f t="shared" si="22"/>
        <v/>
      </c>
      <c r="F134" s="50"/>
      <c r="G134" s="49"/>
      <c r="H134" s="49"/>
      <c r="I134" s="52">
        <f t="shared" si="16"/>
        <v>0</v>
      </c>
      <c r="J134" s="52" t="str">
        <f t="shared" si="17"/>
        <v/>
      </c>
      <c r="K134" s="52" t="str">
        <f t="shared" si="18"/>
        <v/>
      </c>
      <c r="L134" s="52" t="str">
        <f t="shared" si="19"/>
        <v/>
      </c>
      <c r="M134" s="52">
        <f t="shared" si="20"/>
        <v>0</v>
      </c>
      <c r="N134" s="50"/>
      <c r="O134" s="39"/>
      <c r="P134" s="39"/>
      <c r="Q134" s="39"/>
    </row>
    <row r="135" spans="1:17" s="42" customFormat="1" ht="22.15" hidden="1" customHeight="1">
      <c r="A135" s="45"/>
      <c r="B135" s="46" t="e">
        <f>+INDEX('Danh sách CBCNV'!B:B,MATCH(C135,'Danh sách CBCNV'!C:C,0))</f>
        <v>#N/A</v>
      </c>
      <c r="C135" s="54"/>
      <c r="D135" s="40"/>
      <c r="E135" s="48" t="str">
        <f t="shared" si="22"/>
        <v/>
      </c>
      <c r="F135" s="50"/>
      <c r="G135" s="49"/>
      <c r="H135" s="49"/>
      <c r="I135" s="52">
        <f t="shared" si="16"/>
        <v>0</v>
      </c>
      <c r="J135" s="52" t="str">
        <f t="shared" si="17"/>
        <v/>
      </c>
      <c r="K135" s="52" t="str">
        <f t="shared" si="18"/>
        <v/>
      </c>
      <c r="L135" s="52" t="str">
        <f t="shared" si="19"/>
        <v/>
      </c>
      <c r="M135" s="52">
        <f t="shared" si="20"/>
        <v>0</v>
      </c>
      <c r="N135" s="50"/>
      <c r="O135" s="39"/>
      <c r="P135" s="39"/>
      <c r="Q135" s="39"/>
    </row>
    <row r="136" spans="1:17" s="42" customFormat="1" ht="22.15" hidden="1" customHeight="1">
      <c r="A136" s="45"/>
      <c r="B136" s="46" t="e">
        <f>+INDEX('Danh sách CBCNV'!B:B,MATCH(C136,'Danh sách CBCNV'!C:C,0))</f>
        <v>#N/A</v>
      </c>
      <c r="C136" s="55"/>
      <c r="D136" s="40"/>
      <c r="E136" s="48" t="str">
        <f t="shared" si="22"/>
        <v/>
      </c>
      <c r="F136" s="50"/>
      <c r="G136" s="49"/>
      <c r="H136" s="49"/>
      <c r="I136" s="52">
        <f t="shared" si="16"/>
        <v>0</v>
      </c>
      <c r="J136" s="52" t="str">
        <f t="shared" si="17"/>
        <v/>
      </c>
      <c r="K136" s="52" t="str">
        <f t="shared" si="18"/>
        <v/>
      </c>
      <c r="L136" s="52" t="str">
        <f t="shared" si="19"/>
        <v/>
      </c>
      <c r="M136" s="52">
        <f t="shared" si="20"/>
        <v>0</v>
      </c>
      <c r="N136" s="50"/>
      <c r="O136" s="39"/>
      <c r="P136" s="39"/>
      <c r="Q136" s="39"/>
    </row>
    <row r="137" spans="1:17" s="42" customFormat="1" ht="22.15" hidden="1" customHeight="1">
      <c r="A137" s="45"/>
      <c r="B137" s="46" t="e">
        <f>+INDEX('Danh sách CBCNV'!B:B,MATCH(C137,'Danh sách CBCNV'!C:C,0))</f>
        <v>#N/A</v>
      </c>
      <c r="C137" s="58"/>
      <c r="D137" s="40"/>
      <c r="E137" s="48" t="str">
        <f t="shared" si="22"/>
        <v/>
      </c>
      <c r="F137" s="50"/>
      <c r="G137" s="49"/>
      <c r="H137" s="49"/>
      <c r="I137" s="52">
        <f t="shared" ref="I137:I141" si="23">IF(E137="CN","",IF(AND(H137&lt;=24,G137&gt;=19),H137-G137,IF(AND(H137&lt;20,G137&gt;=17),H137-G137,IF(AND(G137&gt;=12,H137&lt;=19),H137-G137,IF(AND(H137&gt;12,H137&lt;20),(H137-G137)-1,IF(H137&gt;22,22-G137,(H137-G137)))))))</f>
        <v>0</v>
      </c>
      <c r="J137" s="52" t="str">
        <f t="shared" ref="J137:J141" si="24">IF(E137&lt;&gt;"CN","",IF(AND(H137&gt;12,H182649),(H137-G137)-1,IF(AND(E137="CN",H137&gt;=22),(22-G137-1),(H137-G137))))</f>
        <v/>
      </c>
      <c r="K137" s="52" t="str">
        <f t="shared" ref="K137:K141" si="25">IF(E137="CN","",IF(H137&gt;=22,H137-22,""))</f>
        <v/>
      </c>
      <c r="L137" s="52" t="str">
        <f t="shared" ref="L137:L141" si="26">IF(AND(E137="CN",H137&gt;=22),24-H137,"")</f>
        <v/>
      </c>
      <c r="M137" s="52">
        <f t="shared" ref="M137:M141" si="27">SUM(I137:L137)</f>
        <v>0</v>
      </c>
      <c r="N137" s="50"/>
      <c r="O137" s="39"/>
      <c r="P137" s="39"/>
      <c r="Q137" s="39"/>
    </row>
    <row r="138" spans="1:17" s="42" customFormat="1" ht="22.15" hidden="1" customHeight="1">
      <c r="A138" s="45"/>
      <c r="B138" s="46" t="e">
        <f>+INDEX('Danh sách CBCNV'!B:B,MATCH(C138,'Danh sách CBCNV'!C:C,0))</f>
        <v>#N/A</v>
      </c>
      <c r="C138" s="57"/>
      <c r="D138" s="40"/>
      <c r="E138" s="48" t="str">
        <f t="shared" si="22"/>
        <v/>
      </c>
      <c r="F138" s="50"/>
      <c r="G138" s="49"/>
      <c r="H138" s="49"/>
      <c r="I138" s="52">
        <f t="shared" si="23"/>
        <v>0</v>
      </c>
      <c r="J138" s="52" t="str">
        <f t="shared" si="24"/>
        <v/>
      </c>
      <c r="K138" s="52" t="str">
        <f t="shared" si="25"/>
        <v/>
      </c>
      <c r="L138" s="52" t="str">
        <f t="shared" si="26"/>
        <v/>
      </c>
      <c r="M138" s="52">
        <f t="shared" si="27"/>
        <v>0</v>
      </c>
      <c r="N138" s="50"/>
      <c r="O138" s="39"/>
      <c r="P138" s="39"/>
      <c r="Q138" s="39"/>
    </row>
    <row r="139" spans="1:17" s="42" customFormat="1" ht="22.15" hidden="1" customHeight="1">
      <c r="A139" s="45"/>
      <c r="B139" s="46" t="e">
        <f>+INDEX('Danh sách CBCNV'!B:B,MATCH(C139,'Danh sách CBCNV'!C:C,0))</f>
        <v>#N/A</v>
      </c>
      <c r="C139" s="54"/>
      <c r="D139" s="40"/>
      <c r="E139" s="48" t="str">
        <f t="shared" si="22"/>
        <v/>
      </c>
      <c r="F139" s="50"/>
      <c r="G139" s="49"/>
      <c r="H139" s="49"/>
      <c r="I139" s="52">
        <f t="shared" si="23"/>
        <v>0</v>
      </c>
      <c r="J139" s="52" t="str">
        <f t="shared" si="24"/>
        <v/>
      </c>
      <c r="K139" s="52" t="str">
        <f t="shared" si="25"/>
        <v/>
      </c>
      <c r="L139" s="52" t="str">
        <f t="shared" si="26"/>
        <v/>
      </c>
      <c r="M139" s="52">
        <f t="shared" si="27"/>
        <v>0</v>
      </c>
      <c r="N139" s="50"/>
      <c r="O139" s="39"/>
      <c r="P139" s="39"/>
      <c r="Q139" s="39"/>
    </row>
    <row r="140" spans="1:17" s="42" customFormat="1" ht="22.15" hidden="1" customHeight="1">
      <c r="A140" s="45"/>
      <c r="B140" s="46" t="e">
        <f>+INDEX('Danh sách CBCNV'!B:B,MATCH(C140,'Danh sách CBCNV'!C:C,0))</f>
        <v>#N/A</v>
      </c>
      <c r="C140" s="54"/>
      <c r="D140" s="40"/>
      <c r="E140" s="48" t="str">
        <f t="shared" si="22"/>
        <v/>
      </c>
      <c r="F140" s="50"/>
      <c r="G140" s="49"/>
      <c r="H140" s="49"/>
      <c r="I140" s="52">
        <f t="shared" si="23"/>
        <v>0</v>
      </c>
      <c r="J140" s="52" t="str">
        <f t="shared" si="24"/>
        <v/>
      </c>
      <c r="K140" s="52" t="str">
        <f t="shared" si="25"/>
        <v/>
      </c>
      <c r="L140" s="52" t="str">
        <f t="shared" si="26"/>
        <v/>
      </c>
      <c r="M140" s="52">
        <f t="shared" si="27"/>
        <v>0</v>
      </c>
      <c r="N140" s="50"/>
      <c r="O140" s="39"/>
      <c r="P140" s="39"/>
      <c r="Q140" s="39"/>
    </row>
    <row r="141" spans="1:17" s="42" customFormat="1" ht="22.15" hidden="1" customHeight="1">
      <c r="A141" s="45"/>
      <c r="B141" s="46" t="e">
        <f>+INDEX('Danh sách CBCNV'!B:B,MATCH(C141,'Danh sách CBCNV'!C:C,0))</f>
        <v>#N/A</v>
      </c>
      <c r="C141" s="54"/>
      <c r="D141" s="40"/>
      <c r="E141" s="48" t="str">
        <f t="shared" si="22"/>
        <v/>
      </c>
      <c r="F141" s="50"/>
      <c r="G141" s="49"/>
      <c r="H141" s="49"/>
      <c r="I141" s="52">
        <f t="shared" si="23"/>
        <v>0</v>
      </c>
      <c r="J141" s="52" t="str">
        <f t="shared" si="24"/>
        <v/>
      </c>
      <c r="K141" s="52" t="str">
        <f t="shared" si="25"/>
        <v/>
      </c>
      <c r="L141" s="52" t="str">
        <f t="shared" si="26"/>
        <v/>
      </c>
      <c r="M141" s="52">
        <f t="shared" si="27"/>
        <v>0</v>
      </c>
      <c r="N141" s="50"/>
      <c r="O141" s="39"/>
      <c r="P141" s="39"/>
      <c r="Q141" s="39"/>
    </row>
    <row r="142" spans="1:17" s="42" customFormat="1" ht="22.15" customHeight="1">
      <c r="A142" s="79" t="s">
        <v>25</v>
      </c>
      <c r="B142" s="79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43"/>
      <c r="P142" s="43"/>
      <c r="Q142" s="43"/>
    </row>
    <row r="143" spans="1:17">
      <c r="A143" s="59"/>
      <c r="B143" s="59"/>
      <c r="C143" s="60"/>
      <c r="D143" s="61"/>
      <c r="E143" s="60"/>
      <c r="F143" s="60"/>
      <c r="G143" s="60"/>
      <c r="H143" s="60"/>
      <c r="I143" s="62"/>
      <c r="J143" s="62"/>
      <c r="K143" s="62"/>
      <c r="L143" s="62"/>
      <c r="M143" s="62"/>
      <c r="N143" s="60"/>
      <c r="O143" s="6"/>
      <c r="P143" s="6"/>
      <c r="Q143" s="6"/>
    </row>
    <row r="144" spans="1:17" ht="15.75">
      <c r="A144" s="63" t="s">
        <v>26</v>
      </c>
      <c r="B144" s="63"/>
      <c r="C144" s="60"/>
      <c r="D144" s="61"/>
      <c r="E144" s="60"/>
      <c r="F144" s="60"/>
      <c r="G144" s="60"/>
      <c r="H144" s="60"/>
      <c r="I144" s="62"/>
      <c r="J144" s="62"/>
      <c r="K144" s="62"/>
      <c r="L144" s="62"/>
      <c r="M144" s="62"/>
      <c r="N144" s="60"/>
      <c r="O144" s="7"/>
      <c r="P144" s="7"/>
      <c r="Q144" s="7"/>
    </row>
    <row r="145" spans="1:17" ht="15.75">
      <c r="A145" s="63" t="s">
        <v>27</v>
      </c>
      <c r="B145" s="63"/>
      <c r="C145" s="60"/>
      <c r="D145" s="61"/>
      <c r="E145" s="60"/>
      <c r="F145" s="60"/>
      <c r="G145" s="60"/>
      <c r="H145" s="60"/>
      <c r="I145" s="62"/>
      <c r="J145" s="62"/>
      <c r="K145" s="62"/>
      <c r="L145" s="62"/>
      <c r="M145" s="62"/>
      <c r="N145" s="60"/>
      <c r="O145" s="7"/>
      <c r="P145" s="7"/>
      <c r="Q145" s="7"/>
    </row>
    <row r="146" spans="1:17" ht="26.25">
      <c r="A146" s="81" t="s">
        <v>28</v>
      </c>
      <c r="B146" s="81"/>
      <c r="C146" s="81"/>
      <c r="D146" s="81"/>
      <c r="E146" s="64"/>
      <c r="F146" s="65" t="s">
        <v>29</v>
      </c>
      <c r="G146" s="81" t="s">
        <v>30</v>
      </c>
      <c r="H146" s="81"/>
      <c r="I146" s="81"/>
      <c r="J146" s="81"/>
      <c r="K146" s="81"/>
      <c r="L146" s="81"/>
      <c r="M146" s="81"/>
      <c r="N146" s="81"/>
      <c r="O146" s="8"/>
      <c r="P146" s="8"/>
      <c r="Q146" s="8"/>
    </row>
    <row r="147" spans="1:17" ht="15.75">
      <c r="A147" s="66"/>
      <c r="B147" s="66"/>
      <c r="C147" s="67"/>
      <c r="D147" s="68"/>
      <c r="E147" s="67"/>
      <c r="F147" s="67"/>
      <c r="G147" s="67"/>
      <c r="H147" s="67"/>
      <c r="I147" s="62"/>
      <c r="J147" s="62"/>
      <c r="K147" s="62"/>
      <c r="L147" s="62"/>
      <c r="M147" s="62"/>
      <c r="N147" s="67"/>
      <c r="O147" s="10"/>
      <c r="P147" s="10"/>
      <c r="Q147" s="10"/>
    </row>
    <row r="148" spans="1:17" ht="15.75">
      <c r="A148" s="66"/>
      <c r="B148" s="66"/>
      <c r="C148" s="67"/>
      <c r="D148" s="68"/>
      <c r="E148" s="67"/>
      <c r="F148" s="67"/>
      <c r="G148" s="67"/>
      <c r="H148" s="67"/>
      <c r="I148" s="62"/>
      <c r="J148" s="62"/>
      <c r="K148" s="62"/>
      <c r="L148" s="62"/>
      <c r="M148" s="62"/>
      <c r="N148" s="67"/>
      <c r="O148" s="10"/>
      <c r="P148" s="10"/>
      <c r="Q148" s="10"/>
    </row>
    <row r="149" spans="1:17" ht="15.75">
      <c r="A149" s="66"/>
      <c r="B149" s="66"/>
      <c r="C149" s="67"/>
      <c r="D149" s="68"/>
      <c r="E149" s="67"/>
      <c r="F149" s="67"/>
      <c r="G149" s="66"/>
      <c r="H149" s="67"/>
      <c r="I149" s="62"/>
      <c r="J149" s="62"/>
      <c r="K149" s="62"/>
      <c r="L149" s="62"/>
      <c r="M149" s="62"/>
      <c r="N149" s="67"/>
      <c r="O149" s="10"/>
      <c r="P149" s="10"/>
      <c r="Q149" s="10"/>
    </row>
    <row r="150" spans="1:17" ht="15.75">
      <c r="A150" s="66"/>
      <c r="B150" s="66"/>
      <c r="C150" s="67"/>
      <c r="D150" s="68"/>
      <c r="E150" s="67"/>
      <c r="F150" s="67"/>
      <c r="G150" s="67"/>
      <c r="H150" s="67"/>
      <c r="I150" s="62"/>
      <c r="J150" s="62"/>
      <c r="K150" s="62"/>
      <c r="L150" s="62"/>
      <c r="M150" s="62"/>
      <c r="N150" s="67"/>
      <c r="O150" s="10"/>
      <c r="P150" s="10"/>
      <c r="Q150" s="10"/>
    </row>
    <row r="151" spans="1:17" ht="15.75">
      <c r="A151" s="66"/>
      <c r="B151" s="66"/>
      <c r="C151" s="67"/>
      <c r="D151" s="68"/>
      <c r="E151" s="67"/>
      <c r="F151" s="67"/>
      <c r="G151" s="67"/>
      <c r="H151" s="67"/>
      <c r="I151" s="62"/>
      <c r="J151" s="62"/>
      <c r="K151" s="62"/>
      <c r="L151" s="62"/>
      <c r="M151" s="62"/>
      <c r="N151" s="67"/>
      <c r="O151" s="10"/>
      <c r="P151" s="10"/>
      <c r="Q151" s="10"/>
    </row>
    <row r="152" spans="1:17" ht="15.75">
      <c r="A152" s="66"/>
      <c r="B152" s="66"/>
      <c r="C152" s="67"/>
      <c r="D152" s="68"/>
      <c r="E152" s="67"/>
      <c r="F152" s="67"/>
      <c r="G152" s="67"/>
      <c r="H152" s="67"/>
      <c r="I152" s="62"/>
      <c r="J152" s="62"/>
      <c r="K152" s="62"/>
      <c r="L152" s="62"/>
      <c r="M152" s="62"/>
      <c r="N152" s="67"/>
      <c r="O152" s="10"/>
      <c r="P152" s="10"/>
      <c r="Q152" s="10"/>
    </row>
    <row r="153" spans="1:17" ht="15.75">
      <c r="A153" s="66"/>
      <c r="B153" s="66"/>
      <c r="C153" s="67"/>
      <c r="D153" s="68"/>
      <c r="E153" s="67"/>
      <c r="F153" s="67"/>
      <c r="G153" s="67"/>
      <c r="H153" s="67"/>
      <c r="I153" s="62"/>
      <c r="J153" s="62"/>
      <c r="K153" s="62"/>
      <c r="L153" s="62"/>
      <c r="M153" s="62"/>
      <c r="N153" s="67"/>
      <c r="O153" s="10"/>
      <c r="P153" s="10"/>
      <c r="Q153" s="10"/>
    </row>
    <row r="154" spans="1:17" ht="15.75">
      <c r="A154" s="66"/>
      <c r="B154" s="66"/>
      <c r="C154" s="67"/>
      <c r="D154" s="68"/>
      <c r="E154" s="67"/>
      <c r="F154" s="67"/>
      <c r="G154" s="67"/>
      <c r="H154" s="67"/>
      <c r="I154" s="62"/>
      <c r="J154" s="62"/>
      <c r="K154" s="62"/>
      <c r="L154" s="62"/>
      <c r="M154" s="62"/>
      <c r="N154" s="67"/>
      <c r="O154" s="10"/>
      <c r="P154" s="10"/>
      <c r="Q154" s="10"/>
    </row>
    <row r="155" spans="1:17" ht="15.75">
      <c r="A155" s="66"/>
      <c r="B155" s="66"/>
      <c r="C155" s="67"/>
      <c r="D155" s="68"/>
      <c r="E155" s="67"/>
      <c r="F155" s="67"/>
      <c r="G155" s="67"/>
      <c r="H155" s="67"/>
      <c r="I155" s="62"/>
      <c r="J155" s="62"/>
      <c r="K155" s="62"/>
      <c r="L155" s="62"/>
      <c r="M155" s="62"/>
      <c r="N155" s="67"/>
      <c r="O155" s="10"/>
      <c r="P155" s="10"/>
      <c r="Q155" s="10"/>
    </row>
    <row r="156" spans="1:17" ht="15.75">
      <c r="A156" s="66"/>
      <c r="B156" s="66"/>
      <c r="C156" s="67"/>
      <c r="D156" s="68"/>
      <c r="E156" s="67"/>
      <c r="F156" s="67"/>
      <c r="G156" s="67"/>
      <c r="H156" s="67"/>
      <c r="I156" s="62"/>
      <c r="J156" s="62"/>
      <c r="K156" s="62"/>
      <c r="L156" s="62"/>
      <c r="M156" s="62"/>
      <c r="N156" s="67"/>
      <c r="O156" s="10"/>
      <c r="P156" s="10"/>
      <c r="Q156" s="10"/>
    </row>
    <row r="157" spans="1:17" ht="15.75">
      <c r="A157" s="9"/>
      <c r="B157" s="9"/>
      <c r="C157" s="10"/>
      <c r="D157" s="11"/>
      <c r="E157" s="10"/>
      <c r="F157" s="10"/>
      <c r="G157" s="10"/>
      <c r="H157" s="10"/>
      <c r="I157" s="53"/>
      <c r="J157" s="53"/>
      <c r="K157" s="53"/>
      <c r="L157" s="53"/>
      <c r="M157" s="53"/>
      <c r="N157" s="10"/>
      <c r="O157" s="10"/>
      <c r="P157" s="10"/>
      <c r="Q157" s="10"/>
    </row>
    <row r="158" spans="1:17" ht="15.75">
      <c r="A158" s="9"/>
      <c r="B158" s="9"/>
      <c r="C158" s="10"/>
      <c r="D158" s="11"/>
      <c r="E158" s="10"/>
      <c r="F158" s="10"/>
      <c r="G158" s="10"/>
      <c r="H158" s="10"/>
      <c r="I158" s="53"/>
      <c r="J158" s="53"/>
      <c r="K158" s="53"/>
      <c r="L158" s="53"/>
      <c r="M158" s="53"/>
      <c r="N158" s="10"/>
      <c r="O158" s="10"/>
      <c r="P158" s="10"/>
      <c r="Q158" s="10"/>
    </row>
    <row r="159" spans="1:17" ht="15.75">
      <c r="A159" s="9"/>
      <c r="B159" s="9"/>
      <c r="C159" s="10"/>
      <c r="D159" s="11"/>
      <c r="E159" s="10"/>
      <c r="F159" s="10"/>
      <c r="G159" s="10"/>
      <c r="H159" s="10"/>
      <c r="I159" s="53"/>
      <c r="J159" s="53"/>
      <c r="K159" s="53"/>
      <c r="L159" s="53"/>
      <c r="M159" s="53"/>
      <c r="N159" s="10"/>
      <c r="O159" s="10"/>
      <c r="P159" s="10"/>
      <c r="Q159" s="10"/>
    </row>
    <row r="160" spans="1:17" ht="15.75">
      <c r="A160" s="9"/>
      <c r="B160" s="9"/>
      <c r="C160" s="10"/>
      <c r="D160" s="11"/>
      <c r="E160" s="10"/>
      <c r="F160" s="10"/>
      <c r="G160" s="10"/>
      <c r="H160" s="10"/>
      <c r="I160" s="53"/>
      <c r="J160" s="53"/>
      <c r="K160" s="53"/>
      <c r="L160" s="53"/>
      <c r="M160" s="53"/>
      <c r="N160" s="10"/>
      <c r="O160" s="10"/>
      <c r="P160" s="10"/>
      <c r="Q160" s="10"/>
    </row>
    <row r="161" spans="1:17" ht="15.75">
      <c r="A161" s="9"/>
      <c r="B161" s="9"/>
      <c r="C161" s="10"/>
      <c r="D161" s="11"/>
      <c r="E161" s="10"/>
      <c r="F161" s="10"/>
      <c r="G161" s="10"/>
      <c r="H161" s="10"/>
      <c r="I161" s="53"/>
      <c r="J161" s="53"/>
      <c r="K161" s="53"/>
      <c r="L161" s="53"/>
      <c r="M161" s="53"/>
      <c r="N161" s="10"/>
      <c r="O161" s="10"/>
      <c r="P161" s="10"/>
      <c r="Q161" s="10"/>
    </row>
    <row r="162" spans="1:17" ht="15.75">
      <c r="A162" s="9"/>
      <c r="B162" s="9"/>
      <c r="C162" s="10"/>
      <c r="D162" s="11"/>
      <c r="E162" s="10"/>
      <c r="F162" s="10"/>
      <c r="G162" s="10"/>
      <c r="H162" s="10"/>
      <c r="I162" s="53"/>
      <c r="J162" s="53"/>
      <c r="K162" s="53"/>
      <c r="L162" s="53"/>
      <c r="M162" s="53"/>
      <c r="N162" s="10"/>
      <c r="O162" s="10"/>
      <c r="P162" s="10"/>
      <c r="Q162" s="10"/>
    </row>
    <row r="163" spans="1:17" ht="15.75">
      <c r="A163" s="9"/>
      <c r="B163" s="9"/>
      <c r="C163" s="10"/>
      <c r="D163" s="11"/>
      <c r="E163" s="10"/>
      <c r="F163" s="10"/>
      <c r="G163" s="10"/>
      <c r="H163" s="10"/>
      <c r="I163" s="53"/>
      <c r="J163" s="53"/>
      <c r="K163" s="53"/>
      <c r="L163" s="53"/>
      <c r="M163" s="53"/>
      <c r="N163" s="10"/>
      <c r="O163" s="10"/>
      <c r="P163" s="10"/>
      <c r="Q163" s="10"/>
    </row>
    <row r="164" spans="1:17" ht="15.75">
      <c r="A164" s="9"/>
      <c r="B164" s="9"/>
      <c r="C164" s="10"/>
      <c r="D164" s="11"/>
      <c r="E164" s="10"/>
      <c r="F164" s="10"/>
      <c r="G164" s="10"/>
      <c r="H164" s="10"/>
      <c r="I164" s="53"/>
      <c r="J164" s="53"/>
      <c r="K164" s="53"/>
      <c r="L164" s="53"/>
      <c r="M164" s="53"/>
      <c r="N164" s="10"/>
      <c r="O164" s="10"/>
      <c r="P164" s="10"/>
      <c r="Q164" s="10"/>
    </row>
    <row r="165" spans="1:17" ht="15.75">
      <c r="A165" s="9"/>
      <c r="B165" s="9"/>
      <c r="C165" s="10"/>
      <c r="D165" s="11"/>
      <c r="E165" s="10"/>
      <c r="F165" s="10"/>
      <c r="G165" s="10"/>
      <c r="H165" s="10"/>
      <c r="I165" s="53"/>
      <c r="J165" s="53"/>
      <c r="K165" s="53"/>
      <c r="L165" s="53"/>
      <c r="M165" s="53"/>
      <c r="N165" s="10"/>
      <c r="O165" s="10"/>
      <c r="P165" s="10"/>
      <c r="Q165" s="10"/>
    </row>
    <row r="166" spans="1:17" ht="15.75">
      <c r="A166" s="9"/>
      <c r="B166" s="9"/>
      <c r="C166" s="10"/>
      <c r="D166" s="11"/>
      <c r="E166" s="10"/>
      <c r="F166" s="10"/>
      <c r="G166" s="10"/>
      <c r="H166" s="10"/>
      <c r="I166" s="53"/>
      <c r="J166" s="53"/>
      <c r="K166" s="53"/>
      <c r="L166" s="53"/>
      <c r="M166" s="53"/>
      <c r="N166" s="10"/>
      <c r="O166" s="10"/>
      <c r="P166" s="10"/>
      <c r="Q166" s="10"/>
    </row>
    <row r="167" spans="1:17" ht="15.75">
      <c r="A167" s="9"/>
      <c r="B167" s="9"/>
      <c r="C167" s="10"/>
      <c r="D167" s="11"/>
      <c r="E167" s="10"/>
      <c r="F167" s="10"/>
      <c r="G167" s="10"/>
      <c r="H167" s="10"/>
      <c r="I167" s="53"/>
      <c r="J167" s="53"/>
      <c r="K167" s="53"/>
      <c r="L167" s="53"/>
      <c r="M167" s="53"/>
      <c r="N167" s="10"/>
      <c r="O167" s="10"/>
      <c r="P167" s="10"/>
      <c r="Q167" s="10"/>
    </row>
    <row r="168" spans="1:17" ht="15.75">
      <c r="A168" s="9"/>
      <c r="B168" s="9"/>
      <c r="C168" s="10"/>
      <c r="D168" s="11"/>
      <c r="E168" s="10"/>
      <c r="F168" s="10"/>
      <c r="G168" s="10"/>
      <c r="H168" s="10"/>
      <c r="I168" s="53"/>
      <c r="J168" s="53"/>
      <c r="K168" s="53"/>
      <c r="L168" s="53"/>
      <c r="M168" s="53"/>
      <c r="N168" s="10"/>
      <c r="O168" s="10"/>
      <c r="P168" s="10"/>
      <c r="Q168" s="10"/>
    </row>
    <row r="169" spans="1:17" ht="15.75">
      <c r="A169" s="9"/>
      <c r="B169" s="9"/>
      <c r="C169" s="10"/>
      <c r="D169" s="11"/>
      <c r="E169" s="10"/>
      <c r="F169" s="10"/>
      <c r="G169" s="10"/>
      <c r="H169" s="10"/>
      <c r="I169" s="53"/>
      <c r="J169" s="53"/>
      <c r="K169" s="53"/>
      <c r="L169" s="53"/>
      <c r="M169" s="53"/>
      <c r="N169" s="10"/>
      <c r="O169" s="10"/>
      <c r="P169" s="10"/>
      <c r="Q169" s="10"/>
    </row>
    <row r="170" spans="1:17" ht="15.75">
      <c r="A170" s="9"/>
      <c r="B170" s="9"/>
      <c r="C170" s="10"/>
      <c r="D170" s="11"/>
      <c r="E170" s="10"/>
      <c r="F170" s="10"/>
      <c r="G170" s="10"/>
      <c r="H170" s="10"/>
      <c r="I170" s="53"/>
      <c r="J170" s="53"/>
      <c r="K170" s="53"/>
      <c r="L170" s="53"/>
      <c r="M170" s="53"/>
      <c r="N170" s="10"/>
      <c r="O170" s="10"/>
      <c r="P170" s="10"/>
      <c r="Q170" s="10"/>
    </row>
    <row r="171" spans="1:17" ht="15.75">
      <c r="A171" s="9"/>
      <c r="B171" s="9"/>
      <c r="C171" s="10"/>
      <c r="D171" s="11"/>
      <c r="E171" s="10"/>
      <c r="F171" s="10"/>
      <c r="G171" s="10"/>
      <c r="H171" s="10"/>
      <c r="I171" s="53"/>
      <c r="J171" s="53"/>
      <c r="K171" s="53"/>
      <c r="L171" s="53"/>
      <c r="M171" s="53"/>
      <c r="N171" s="10"/>
      <c r="O171" s="10"/>
      <c r="P171" s="10"/>
      <c r="Q171" s="10"/>
    </row>
    <row r="172" spans="1:17" ht="15.75">
      <c r="A172" s="9"/>
      <c r="B172" s="9"/>
      <c r="C172" s="10"/>
      <c r="D172" s="11"/>
      <c r="E172" s="10"/>
      <c r="F172" s="10"/>
      <c r="G172" s="10"/>
      <c r="H172" s="10"/>
      <c r="I172" s="53"/>
      <c r="J172" s="53"/>
      <c r="K172" s="53"/>
      <c r="L172" s="53"/>
      <c r="M172" s="53"/>
      <c r="N172" s="10"/>
      <c r="O172" s="10"/>
      <c r="P172" s="10"/>
      <c r="Q172" s="10"/>
    </row>
    <row r="173" spans="1:17" ht="15.75">
      <c r="A173" s="9"/>
      <c r="B173" s="9"/>
      <c r="C173" s="10"/>
      <c r="D173" s="11"/>
      <c r="E173" s="10"/>
      <c r="F173" s="10"/>
      <c r="G173" s="10"/>
      <c r="H173" s="10"/>
      <c r="I173" s="53"/>
      <c r="J173" s="53"/>
      <c r="K173" s="53"/>
      <c r="L173" s="53"/>
      <c r="M173" s="53"/>
      <c r="N173" s="10"/>
      <c r="O173" s="10"/>
      <c r="P173" s="10"/>
      <c r="Q173" s="10"/>
    </row>
    <row r="174" spans="1:17" ht="15.75">
      <c r="A174" s="9"/>
      <c r="B174" s="9"/>
      <c r="C174" s="10"/>
      <c r="D174" s="11"/>
      <c r="E174" s="10"/>
      <c r="F174" s="10"/>
      <c r="G174" s="10"/>
      <c r="H174" s="10"/>
      <c r="I174" s="53"/>
      <c r="J174" s="53"/>
      <c r="K174" s="53"/>
      <c r="L174" s="53"/>
      <c r="M174" s="53"/>
      <c r="N174" s="10"/>
      <c r="O174" s="10"/>
      <c r="P174" s="10"/>
      <c r="Q174" s="10"/>
    </row>
    <row r="175" spans="1:17" ht="15.75">
      <c r="A175" s="9"/>
      <c r="B175" s="9"/>
      <c r="C175" s="10"/>
      <c r="D175" s="11"/>
      <c r="E175" s="10"/>
      <c r="F175" s="10"/>
      <c r="G175" s="10"/>
      <c r="H175" s="10"/>
      <c r="I175" s="53"/>
      <c r="J175" s="53"/>
      <c r="K175" s="53"/>
      <c r="L175" s="53"/>
      <c r="M175" s="53"/>
      <c r="N175" s="10"/>
      <c r="O175" s="10"/>
      <c r="P175" s="10"/>
      <c r="Q175" s="10"/>
    </row>
    <row r="176" spans="1:17" ht="15.75">
      <c r="A176" s="9"/>
      <c r="B176" s="9"/>
      <c r="C176" s="10"/>
      <c r="D176" s="11"/>
      <c r="E176" s="10"/>
      <c r="F176" s="10"/>
      <c r="G176" s="10"/>
      <c r="H176" s="10"/>
      <c r="I176" s="53"/>
      <c r="J176" s="53"/>
      <c r="K176" s="53"/>
      <c r="L176" s="53"/>
      <c r="M176" s="53"/>
      <c r="N176" s="10"/>
      <c r="O176" s="10"/>
      <c r="P176" s="10"/>
      <c r="Q176" s="10"/>
    </row>
    <row r="177" spans="1:17" ht="15.75">
      <c r="A177" s="9"/>
      <c r="B177" s="9"/>
      <c r="C177" s="10"/>
      <c r="D177" s="11"/>
      <c r="E177" s="10"/>
      <c r="F177" s="10"/>
      <c r="G177" s="10"/>
      <c r="H177" s="10"/>
      <c r="I177" s="53"/>
      <c r="J177" s="53"/>
      <c r="K177" s="53"/>
      <c r="L177" s="53"/>
      <c r="M177" s="53"/>
      <c r="N177" s="10"/>
      <c r="O177" s="10"/>
      <c r="P177" s="10"/>
      <c r="Q177" s="10"/>
    </row>
    <row r="178" spans="1:17" ht="15.75">
      <c r="A178" s="9"/>
      <c r="B178" s="9"/>
      <c r="C178" s="10"/>
      <c r="D178" s="11"/>
      <c r="E178" s="10"/>
      <c r="F178" s="10"/>
      <c r="G178" s="10"/>
      <c r="H178" s="10"/>
      <c r="I178" s="53"/>
      <c r="J178" s="53"/>
      <c r="K178" s="53"/>
      <c r="L178" s="53"/>
      <c r="M178" s="53"/>
      <c r="N178" s="10"/>
      <c r="O178" s="10"/>
      <c r="P178" s="10"/>
      <c r="Q178" s="10"/>
    </row>
    <row r="179" spans="1:17" ht="15.75">
      <c r="A179" s="9"/>
      <c r="B179" s="9"/>
      <c r="C179" s="10"/>
      <c r="D179" s="11"/>
      <c r="E179" s="10"/>
      <c r="F179" s="10"/>
      <c r="G179" s="10"/>
      <c r="H179" s="10"/>
      <c r="I179" s="53"/>
      <c r="J179" s="53"/>
      <c r="K179" s="53"/>
      <c r="L179" s="53"/>
      <c r="M179" s="53"/>
      <c r="N179" s="10"/>
      <c r="O179" s="10"/>
      <c r="P179" s="10"/>
      <c r="Q179" s="10"/>
    </row>
    <row r="180" spans="1:17" ht="15.75">
      <c r="A180" s="9"/>
      <c r="B180" s="9"/>
      <c r="C180" s="10"/>
      <c r="D180" s="11"/>
      <c r="E180" s="10"/>
      <c r="F180" s="10"/>
      <c r="G180" s="10"/>
      <c r="H180" s="10"/>
      <c r="I180" s="53"/>
      <c r="J180" s="53"/>
      <c r="K180" s="53"/>
      <c r="L180" s="53"/>
      <c r="M180" s="53"/>
      <c r="N180" s="10"/>
      <c r="O180" s="10"/>
      <c r="P180" s="10"/>
      <c r="Q180" s="10"/>
    </row>
    <row r="181" spans="1:17" ht="15.75">
      <c r="A181" s="9"/>
      <c r="B181" s="9"/>
      <c r="C181" s="10"/>
      <c r="D181" s="11"/>
      <c r="E181" s="10"/>
      <c r="F181" s="10"/>
      <c r="G181" s="10"/>
      <c r="H181" s="10"/>
      <c r="I181" s="53"/>
      <c r="J181" s="53"/>
      <c r="K181" s="53"/>
      <c r="L181" s="53"/>
      <c r="M181" s="53"/>
      <c r="N181" s="10"/>
      <c r="O181" s="10"/>
      <c r="P181" s="10"/>
      <c r="Q181" s="10"/>
    </row>
    <row r="182" spans="1:17" ht="15.75">
      <c r="A182" s="9"/>
      <c r="B182" s="9"/>
      <c r="C182" s="10"/>
      <c r="D182" s="11"/>
      <c r="E182" s="10"/>
      <c r="F182" s="10"/>
      <c r="G182" s="10"/>
      <c r="H182" s="10"/>
      <c r="I182" s="53"/>
      <c r="J182" s="53"/>
      <c r="K182" s="53"/>
      <c r="L182" s="53"/>
      <c r="M182" s="53"/>
      <c r="N182" s="10"/>
      <c r="O182" s="10"/>
      <c r="P182" s="10"/>
      <c r="Q182" s="10"/>
    </row>
    <row r="183" spans="1:17" ht="15.75">
      <c r="A183" s="9"/>
      <c r="B183" s="9"/>
      <c r="C183" s="10"/>
      <c r="D183" s="11"/>
      <c r="E183" s="10"/>
      <c r="F183" s="10"/>
      <c r="G183" s="10"/>
      <c r="H183" s="10"/>
      <c r="I183" s="53"/>
      <c r="J183" s="53"/>
      <c r="K183" s="53"/>
      <c r="L183" s="53"/>
      <c r="M183" s="53"/>
      <c r="N183" s="10"/>
      <c r="O183" s="10"/>
      <c r="P183" s="10"/>
      <c r="Q183" s="10"/>
    </row>
    <row r="184" spans="1:17" ht="15.75">
      <c r="A184" s="9"/>
      <c r="B184" s="9"/>
      <c r="C184" s="10"/>
      <c r="D184" s="11"/>
      <c r="E184" s="10"/>
      <c r="F184" s="10"/>
      <c r="G184" s="10"/>
      <c r="H184" s="10"/>
      <c r="I184" s="53"/>
      <c r="J184" s="53"/>
      <c r="K184" s="53"/>
      <c r="L184" s="53"/>
      <c r="M184" s="53"/>
      <c r="N184" s="10"/>
      <c r="O184" s="10"/>
      <c r="P184" s="10"/>
      <c r="Q184" s="10"/>
    </row>
    <row r="185" spans="1:17" ht="15.75">
      <c r="A185" s="9"/>
      <c r="B185" s="9"/>
      <c r="C185" s="10"/>
      <c r="D185" s="11"/>
      <c r="E185" s="10"/>
      <c r="F185" s="10"/>
      <c r="G185" s="10"/>
      <c r="H185" s="10"/>
      <c r="I185" s="53"/>
      <c r="J185" s="53"/>
      <c r="K185" s="53"/>
      <c r="L185" s="53"/>
      <c r="M185" s="53"/>
      <c r="N185" s="10"/>
      <c r="O185" s="10"/>
      <c r="P185" s="10"/>
      <c r="Q185" s="10"/>
    </row>
    <row r="186" spans="1:17" ht="15.75">
      <c r="A186" s="9"/>
      <c r="B186" s="9"/>
      <c r="C186" s="10"/>
      <c r="D186" s="11"/>
      <c r="E186" s="10"/>
      <c r="F186" s="10"/>
      <c r="G186" s="10"/>
      <c r="H186" s="10"/>
      <c r="I186" s="53"/>
      <c r="J186" s="53"/>
      <c r="K186" s="53"/>
      <c r="L186" s="53"/>
      <c r="M186" s="53"/>
      <c r="N186" s="10"/>
      <c r="O186" s="10"/>
      <c r="P186" s="10"/>
      <c r="Q186" s="10"/>
    </row>
    <row r="187" spans="1:17" ht="15.75">
      <c r="A187" s="9"/>
      <c r="B187" s="9"/>
      <c r="C187" s="10"/>
      <c r="D187" s="11"/>
      <c r="E187" s="10"/>
      <c r="F187" s="10"/>
      <c r="G187" s="10"/>
      <c r="H187" s="10"/>
      <c r="I187" s="53"/>
      <c r="J187" s="53"/>
      <c r="K187" s="53"/>
      <c r="L187" s="53"/>
      <c r="M187" s="53"/>
      <c r="N187" s="10"/>
      <c r="O187" s="10"/>
      <c r="P187" s="10"/>
      <c r="Q187" s="10"/>
    </row>
    <row r="188" spans="1:17" ht="15.75">
      <c r="A188" s="9"/>
      <c r="B188" s="9"/>
      <c r="C188" s="10"/>
      <c r="D188" s="11"/>
      <c r="E188" s="10"/>
      <c r="F188" s="10"/>
      <c r="G188" s="10"/>
      <c r="H188" s="10"/>
      <c r="I188" s="53"/>
      <c r="J188" s="53"/>
      <c r="K188" s="53"/>
      <c r="L188" s="53"/>
      <c r="M188" s="53"/>
      <c r="N188" s="10"/>
      <c r="O188" s="10"/>
      <c r="P188" s="10"/>
      <c r="Q188" s="10"/>
    </row>
    <row r="189" spans="1:17" ht="15.75">
      <c r="A189" s="9"/>
      <c r="B189" s="9"/>
      <c r="C189" s="10"/>
      <c r="D189" s="11"/>
      <c r="E189" s="10"/>
      <c r="F189" s="10"/>
      <c r="G189" s="10"/>
      <c r="H189" s="10"/>
      <c r="I189" s="53"/>
      <c r="J189" s="53"/>
      <c r="K189" s="53"/>
      <c r="L189" s="53"/>
      <c r="M189" s="53"/>
      <c r="N189" s="10"/>
      <c r="O189" s="10"/>
      <c r="P189" s="10"/>
      <c r="Q189" s="10"/>
    </row>
    <row r="190" spans="1:17" ht="15.75">
      <c r="A190" s="9"/>
      <c r="B190" s="9"/>
      <c r="C190" s="10"/>
      <c r="D190" s="11"/>
      <c r="E190" s="10"/>
      <c r="F190" s="10"/>
      <c r="G190" s="10"/>
      <c r="H190" s="10"/>
      <c r="I190" s="53"/>
      <c r="J190" s="53"/>
      <c r="K190" s="53"/>
      <c r="L190" s="53"/>
      <c r="M190" s="53"/>
      <c r="N190" s="10"/>
      <c r="O190" s="10"/>
      <c r="P190" s="10"/>
      <c r="Q190" s="10"/>
    </row>
    <row r="191" spans="1:17" ht="15.75">
      <c r="A191" s="9"/>
      <c r="B191" s="9"/>
      <c r="C191" s="10"/>
      <c r="D191" s="11"/>
      <c r="E191" s="10"/>
      <c r="F191" s="10"/>
      <c r="G191" s="10"/>
      <c r="H191" s="10"/>
      <c r="I191" s="53"/>
      <c r="J191" s="53"/>
      <c r="K191" s="53"/>
      <c r="L191" s="53"/>
      <c r="M191" s="53"/>
      <c r="N191" s="10"/>
      <c r="O191" s="10"/>
      <c r="P191" s="10"/>
      <c r="Q191" s="10"/>
    </row>
    <row r="192" spans="1:17" ht="15.75">
      <c r="A192" s="9"/>
      <c r="B192" s="9"/>
      <c r="C192" s="10"/>
      <c r="D192" s="11"/>
      <c r="E192" s="10"/>
      <c r="F192" s="10"/>
      <c r="G192" s="10"/>
      <c r="H192" s="10"/>
      <c r="I192" s="53"/>
      <c r="J192" s="53"/>
      <c r="K192" s="53"/>
      <c r="L192" s="53"/>
      <c r="M192" s="53"/>
      <c r="N192" s="10"/>
      <c r="O192" s="10"/>
      <c r="P192" s="10"/>
      <c r="Q192" s="10"/>
    </row>
    <row r="193" spans="1:17" ht="15.75">
      <c r="A193" s="9"/>
      <c r="B193" s="9"/>
      <c r="C193" s="10"/>
      <c r="D193" s="11"/>
      <c r="E193" s="10"/>
      <c r="F193" s="10"/>
      <c r="G193" s="10"/>
      <c r="H193" s="10"/>
      <c r="I193" s="53"/>
      <c r="J193" s="53"/>
      <c r="K193" s="53"/>
      <c r="L193" s="53"/>
      <c r="M193" s="53"/>
      <c r="N193" s="10"/>
      <c r="O193" s="10"/>
      <c r="P193" s="10"/>
      <c r="Q193" s="10"/>
    </row>
    <row r="194" spans="1:17" ht="15.75">
      <c r="A194" s="9"/>
      <c r="B194" s="9"/>
      <c r="C194" s="10"/>
      <c r="D194" s="11"/>
      <c r="E194" s="10"/>
      <c r="F194" s="10"/>
      <c r="G194" s="10"/>
      <c r="H194" s="10"/>
      <c r="I194" s="53"/>
      <c r="J194" s="53"/>
      <c r="K194" s="53"/>
      <c r="L194" s="53"/>
      <c r="M194" s="53"/>
      <c r="N194" s="10"/>
      <c r="O194" s="10"/>
      <c r="P194" s="10"/>
      <c r="Q194" s="10"/>
    </row>
    <row r="195" spans="1:17" ht="15.75">
      <c r="A195" s="9"/>
      <c r="B195" s="9"/>
      <c r="C195" s="10"/>
      <c r="D195" s="11"/>
      <c r="E195" s="10"/>
      <c r="F195" s="10"/>
      <c r="G195" s="10"/>
      <c r="H195" s="10"/>
      <c r="I195" s="53"/>
      <c r="J195" s="53"/>
      <c r="K195" s="53"/>
      <c r="L195" s="53"/>
      <c r="M195" s="53"/>
      <c r="N195" s="10"/>
      <c r="O195" s="10"/>
      <c r="P195" s="10"/>
      <c r="Q195" s="10"/>
    </row>
    <row r="196" spans="1:17" ht="15.75">
      <c r="A196" s="9"/>
      <c r="B196" s="9"/>
      <c r="C196" s="10"/>
      <c r="D196" s="11"/>
      <c r="E196" s="10"/>
      <c r="F196" s="10"/>
      <c r="G196" s="10"/>
      <c r="H196" s="10"/>
      <c r="I196" s="53"/>
      <c r="J196" s="53"/>
      <c r="K196" s="53"/>
      <c r="L196" s="53"/>
      <c r="M196" s="53"/>
      <c r="N196" s="10"/>
      <c r="O196" s="10"/>
      <c r="P196" s="10"/>
      <c r="Q196" s="10"/>
    </row>
  </sheetData>
  <autoFilter ref="A4:X142" xr:uid="{00000000-0009-0000-0000-000000000000}"/>
  <mergeCells count="15">
    <mergeCell ref="C1:N2"/>
    <mergeCell ref="A142:N142"/>
    <mergeCell ref="A146:D146"/>
    <mergeCell ref="G146:N146"/>
    <mergeCell ref="A3:A4"/>
    <mergeCell ref="B3:B4"/>
    <mergeCell ref="C3:C4"/>
    <mergeCell ref="F3:F4"/>
    <mergeCell ref="N3:N4"/>
    <mergeCell ref="I3:I4"/>
    <mergeCell ref="J3:J4"/>
    <mergeCell ref="K3:K4"/>
    <mergeCell ref="L3:L4"/>
    <mergeCell ref="M3:M4"/>
    <mergeCell ref="D3:E4"/>
  </mergeCells>
  <pageMargins left="0.70866141732283472" right="0.70866141732283472" top="0.74803149606299213" bottom="0.74803149606299213" header="0.31496062992125984" footer="0.31496062992125984"/>
  <pageSetup paperSize="9" scale="70" fitToHeight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24"/>
  <sheetViews>
    <sheetView topLeftCell="A94" workbookViewId="0">
      <selection activeCell="E114" sqref="E114"/>
    </sheetView>
  </sheetViews>
  <sheetFormatPr defaultRowHeight="12.75"/>
  <cols>
    <col min="1" max="1" width="10.28515625" style="19" customWidth="1"/>
    <col min="2" max="2" width="11.85546875" style="22" customWidth="1"/>
    <col min="3" max="3" width="29.28515625" style="22" customWidth="1"/>
    <col min="4" max="4" width="14.28515625" style="22" customWidth="1"/>
    <col min="5" max="256" width="9.140625" style="19"/>
    <col min="257" max="257" width="10.28515625" style="19" customWidth="1"/>
    <col min="258" max="258" width="11.85546875" style="19" customWidth="1"/>
    <col min="259" max="259" width="29.28515625" style="19" customWidth="1"/>
    <col min="260" max="260" width="14.28515625" style="19" customWidth="1"/>
    <col min="261" max="512" width="9.140625" style="19"/>
    <col min="513" max="513" width="10.28515625" style="19" customWidth="1"/>
    <col min="514" max="514" width="11.85546875" style="19" customWidth="1"/>
    <col min="515" max="515" width="29.28515625" style="19" customWidth="1"/>
    <col min="516" max="516" width="14.28515625" style="19" customWidth="1"/>
    <col min="517" max="768" width="9.140625" style="19"/>
    <col min="769" max="769" width="10.28515625" style="19" customWidth="1"/>
    <col min="770" max="770" width="11.85546875" style="19" customWidth="1"/>
    <col min="771" max="771" width="29.28515625" style="19" customWidth="1"/>
    <col min="772" max="772" width="14.28515625" style="19" customWidth="1"/>
    <col min="773" max="1024" width="9.140625" style="19"/>
    <col min="1025" max="1025" width="10.28515625" style="19" customWidth="1"/>
    <col min="1026" max="1026" width="11.85546875" style="19" customWidth="1"/>
    <col min="1027" max="1027" width="29.28515625" style="19" customWidth="1"/>
    <col min="1028" max="1028" width="14.28515625" style="19" customWidth="1"/>
    <col min="1029" max="1280" width="9.140625" style="19"/>
    <col min="1281" max="1281" width="10.28515625" style="19" customWidth="1"/>
    <col min="1282" max="1282" width="11.85546875" style="19" customWidth="1"/>
    <col min="1283" max="1283" width="29.28515625" style="19" customWidth="1"/>
    <col min="1284" max="1284" width="14.28515625" style="19" customWidth="1"/>
    <col min="1285" max="1536" width="9.140625" style="19"/>
    <col min="1537" max="1537" width="10.28515625" style="19" customWidth="1"/>
    <col min="1538" max="1538" width="11.85546875" style="19" customWidth="1"/>
    <col min="1539" max="1539" width="29.28515625" style="19" customWidth="1"/>
    <col min="1540" max="1540" width="14.28515625" style="19" customWidth="1"/>
    <col min="1541" max="1792" width="9.140625" style="19"/>
    <col min="1793" max="1793" width="10.28515625" style="19" customWidth="1"/>
    <col min="1794" max="1794" width="11.85546875" style="19" customWidth="1"/>
    <col min="1795" max="1795" width="29.28515625" style="19" customWidth="1"/>
    <col min="1796" max="1796" width="14.28515625" style="19" customWidth="1"/>
    <col min="1797" max="2048" width="9.140625" style="19"/>
    <col min="2049" max="2049" width="10.28515625" style="19" customWidth="1"/>
    <col min="2050" max="2050" width="11.85546875" style="19" customWidth="1"/>
    <col min="2051" max="2051" width="29.28515625" style="19" customWidth="1"/>
    <col min="2052" max="2052" width="14.28515625" style="19" customWidth="1"/>
    <col min="2053" max="2304" width="9.140625" style="19"/>
    <col min="2305" max="2305" width="10.28515625" style="19" customWidth="1"/>
    <col min="2306" max="2306" width="11.85546875" style="19" customWidth="1"/>
    <col min="2307" max="2307" width="29.28515625" style="19" customWidth="1"/>
    <col min="2308" max="2308" width="14.28515625" style="19" customWidth="1"/>
    <col min="2309" max="2560" width="9.140625" style="19"/>
    <col min="2561" max="2561" width="10.28515625" style="19" customWidth="1"/>
    <col min="2562" max="2562" width="11.85546875" style="19" customWidth="1"/>
    <col min="2563" max="2563" width="29.28515625" style="19" customWidth="1"/>
    <col min="2564" max="2564" width="14.28515625" style="19" customWidth="1"/>
    <col min="2565" max="2816" width="9.140625" style="19"/>
    <col min="2817" max="2817" width="10.28515625" style="19" customWidth="1"/>
    <col min="2818" max="2818" width="11.85546875" style="19" customWidth="1"/>
    <col min="2819" max="2819" width="29.28515625" style="19" customWidth="1"/>
    <col min="2820" max="2820" width="14.28515625" style="19" customWidth="1"/>
    <col min="2821" max="3072" width="9.140625" style="19"/>
    <col min="3073" max="3073" width="10.28515625" style="19" customWidth="1"/>
    <col min="3074" max="3074" width="11.85546875" style="19" customWidth="1"/>
    <col min="3075" max="3075" width="29.28515625" style="19" customWidth="1"/>
    <col min="3076" max="3076" width="14.28515625" style="19" customWidth="1"/>
    <col min="3077" max="3328" width="9.140625" style="19"/>
    <col min="3329" max="3329" width="10.28515625" style="19" customWidth="1"/>
    <col min="3330" max="3330" width="11.85546875" style="19" customWidth="1"/>
    <col min="3331" max="3331" width="29.28515625" style="19" customWidth="1"/>
    <col min="3332" max="3332" width="14.28515625" style="19" customWidth="1"/>
    <col min="3333" max="3584" width="9.140625" style="19"/>
    <col min="3585" max="3585" width="10.28515625" style="19" customWidth="1"/>
    <col min="3586" max="3586" width="11.85546875" style="19" customWidth="1"/>
    <col min="3587" max="3587" width="29.28515625" style="19" customWidth="1"/>
    <col min="3588" max="3588" width="14.28515625" style="19" customWidth="1"/>
    <col min="3589" max="3840" width="9.140625" style="19"/>
    <col min="3841" max="3841" width="10.28515625" style="19" customWidth="1"/>
    <col min="3842" max="3842" width="11.85546875" style="19" customWidth="1"/>
    <col min="3843" max="3843" width="29.28515625" style="19" customWidth="1"/>
    <col min="3844" max="3844" width="14.28515625" style="19" customWidth="1"/>
    <col min="3845" max="4096" width="9.140625" style="19"/>
    <col min="4097" max="4097" width="10.28515625" style="19" customWidth="1"/>
    <col min="4098" max="4098" width="11.85546875" style="19" customWidth="1"/>
    <col min="4099" max="4099" width="29.28515625" style="19" customWidth="1"/>
    <col min="4100" max="4100" width="14.28515625" style="19" customWidth="1"/>
    <col min="4101" max="4352" width="9.140625" style="19"/>
    <col min="4353" max="4353" width="10.28515625" style="19" customWidth="1"/>
    <col min="4354" max="4354" width="11.85546875" style="19" customWidth="1"/>
    <col min="4355" max="4355" width="29.28515625" style="19" customWidth="1"/>
    <col min="4356" max="4356" width="14.28515625" style="19" customWidth="1"/>
    <col min="4357" max="4608" width="9.140625" style="19"/>
    <col min="4609" max="4609" width="10.28515625" style="19" customWidth="1"/>
    <col min="4610" max="4610" width="11.85546875" style="19" customWidth="1"/>
    <col min="4611" max="4611" width="29.28515625" style="19" customWidth="1"/>
    <col min="4612" max="4612" width="14.28515625" style="19" customWidth="1"/>
    <col min="4613" max="4864" width="9.140625" style="19"/>
    <col min="4865" max="4865" width="10.28515625" style="19" customWidth="1"/>
    <col min="4866" max="4866" width="11.85546875" style="19" customWidth="1"/>
    <col min="4867" max="4867" width="29.28515625" style="19" customWidth="1"/>
    <col min="4868" max="4868" width="14.28515625" style="19" customWidth="1"/>
    <col min="4869" max="5120" width="9.140625" style="19"/>
    <col min="5121" max="5121" width="10.28515625" style="19" customWidth="1"/>
    <col min="5122" max="5122" width="11.85546875" style="19" customWidth="1"/>
    <col min="5123" max="5123" width="29.28515625" style="19" customWidth="1"/>
    <col min="5124" max="5124" width="14.28515625" style="19" customWidth="1"/>
    <col min="5125" max="5376" width="9.140625" style="19"/>
    <col min="5377" max="5377" width="10.28515625" style="19" customWidth="1"/>
    <col min="5378" max="5378" width="11.85546875" style="19" customWidth="1"/>
    <col min="5379" max="5379" width="29.28515625" style="19" customWidth="1"/>
    <col min="5380" max="5380" width="14.28515625" style="19" customWidth="1"/>
    <col min="5381" max="5632" width="9.140625" style="19"/>
    <col min="5633" max="5633" width="10.28515625" style="19" customWidth="1"/>
    <col min="5634" max="5634" width="11.85546875" style="19" customWidth="1"/>
    <col min="5635" max="5635" width="29.28515625" style="19" customWidth="1"/>
    <col min="5636" max="5636" width="14.28515625" style="19" customWidth="1"/>
    <col min="5637" max="5888" width="9.140625" style="19"/>
    <col min="5889" max="5889" width="10.28515625" style="19" customWidth="1"/>
    <col min="5890" max="5890" width="11.85546875" style="19" customWidth="1"/>
    <col min="5891" max="5891" width="29.28515625" style="19" customWidth="1"/>
    <col min="5892" max="5892" width="14.28515625" style="19" customWidth="1"/>
    <col min="5893" max="6144" width="9.140625" style="19"/>
    <col min="6145" max="6145" width="10.28515625" style="19" customWidth="1"/>
    <col min="6146" max="6146" width="11.85546875" style="19" customWidth="1"/>
    <col min="6147" max="6147" width="29.28515625" style="19" customWidth="1"/>
    <col min="6148" max="6148" width="14.28515625" style="19" customWidth="1"/>
    <col min="6149" max="6400" width="9.140625" style="19"/>
    <col min="6401" max="6401" width="10.28515625" style="19" customWidth="1"/>
    <col min="6402" max="6402" width="11.85546875" style="19" customWidth="1"/>
    <col min="6403" max="6403" width="29.28515625" style="19" customWidth="1"/>
    <col min="6404" max="6404" width="14.28515625" style="19" customWidth="1"/>
    <col min="6405" max="6656" width="9.140625" style="19"/>
    <col min="6657" max="6657" width="10.28515625" style="19" customWidth="1"/>
    <col min="6658" max="6658" width="11.85546875" style="19" customWidth="1"/>
    <col min="6659" max="6659" width="29.28515625" style="19" customWidth="1"/>
    <col min="6660" max="6660" width="14.28515625" style="19" customWidth="1"/>
    <col min="6661" max="6912" width="9.140625" style="19"/>
    <col min="6913" max="6913" width="10.28515625" style="19" customWidth="1"/>
    <col min="6914" max="6914" width="11.85546875" style="19" customWidth="1"/>
    <col min="6915" max="6915" width="29.28515625" style="19" customWidth="1"/>
    <col min="6916" max="6916" width="14.28515625" style="19" customWidth="1"/>
    <col min="6917" max="7168" width="9.140625" style="19"/>
    <col min="7169" max="7169" width="10.28515625" style="19" customWidth="1"/>
    <col min="7170" max="7170" width="11.85546875" style="19" customWidth="1"/>
    <col min="7171" max="7171" width="29.28515625" style="19" customWidth="1"/>
    <col min="7172" max="7172" width="14.28515625" style="19" customWidth="1"/>
    <col min="7173" max="7424" width="9.140625" style="19"/>
    <col min="7425" max="7425" width="10.28515625" style="19" customWidth="1"/>
    <col min="7426" max="7426" width="11.85546875" style="19" customWidth="1"/>
    <col min="7427" max="7427" width="29.28515625" style="19" customWidth="1"/>
    <col min="7428" max="7428" width="14.28515625" style="19" customWidth="1"/>
    <col min="7429" max="7680" width="9.140625" style="19"/>
    <col min="7681" max="7681" width="10.28515625" style="19" customWidth="1"/>
    <col min="7682" max="7682" width="11.85546875" style="19" customWidth="1"/>
    <col min="7683" max="7683" width="29.28515625" style="19" customWidth="1"/>
    <col min="7684" max="7684" width="14.28515625" style="19" customWidth="1"/>
    <col min="7685" max="7936" width="9.140625" style="19"/>
    <col min="7937" max="7937" width="10.28515625" style="19" customWidth="1"/>
    <col min="7938" max="7938" width="11.85546875" style="19" customWidth="1"/>
    <col min="7939" max="7939" width="29.28515625" style="19" customWidth="1"/>
    <col min="7940" max="7940" width="14.28515625" style="19" customWidth="1"/>
    <col min="7941" max="8192" width="9.140625" style="19"/>
    <col min="8193" max="8193" width="10.28515625" style="19" customWidth="1"/>
    <col min="8194" max="8194" width="11.85546875" style="19" customWidth="1"/>
    <col min="8195" max="8195" width="29.28515625" style="19" customWidth="1"/>
    <col min="8196" max="8196" width="14.28515625" style="19" customWidth="1"/>
    <col min="8197" max="8448" width="9.140625" style="19"/>
    <col min="8449" max="8449" width="10.28515625" style="19" customWidth="1"/>
    <col min="8450" max="8450" width="11.85546875" style="19" customWidth="1"/>
    <col min="8451" max="8451" width="29.28515625" style="19" customWidth="1"/>
    <col min="8452" max="8452" width="14.28515625" style="19" customWidth="1"/>
    <col min="8453" max="8704" width="9.140625" style="19"/>
    <col min="8705" max="8705" width="10.28515625" style="19" customWidth="1"/>
    <col min="8706" max="8706" width="11.85546875" style="19" customWidth="1"/>
    <col min="8707" max="8707" width="29.28515625" style="19" customWidth="1"/>
    <col min="8708" max="8708" width="14.28515625" style="19" customWidth="1"/>
    <col min="8709" max="8960" width="9.140625" style="19"/>
    <col min="8961" max="8961" width="10.28515625" style="19" customWidth="1"/>
    <col min="8962" max="8962" width="11.85546875" style="19" customWidth="1"/>
    <col min="8963" max="8963" width="29.28515625" style="19" customWidth="1"/>
    <col min="8964" max="8964" width="14.28515625" style="19" customWidth="1"/>
    <col min="8965" max="9216" width="9.140625" style="19"/>
    <col min="9217" max="9217" width="10.28515625" style="19" customWidth="1"/>
    <col min="9218" max="9218" width="11.85546875" style="19" customWidth="1"/>
    <col min="9219" max="9219" width="29.28515625" style="19" customWidth="1"/>
    <col min="9220" max="9220" width="14.28515625" style="19" customWidth="1"/>
    <col min="9221" max="9472" width="9.140625" style="19"/>
    <col min="9473" max="9473" width="10.28515625" style="19" customWidth="1"/>
    <col min="9474" max="9474" width="11.85546875" style="19" customWidth="1"/>
    <col min="9475" max="9475" width="29.28515625" style="19" customWidth="1"/>
    <col min="9476" max="9476" width="14.28515625" style="19" customWidth="1"/>
    <col min="9477" max="9728" width="9.140625" style="19"/>
    <col min="9729" max="9729" width="10.28515625" style="19" customWidth="1"/>
    <col min="9730" max="9730" width="11.85546875" style="19" customWidth="1"/>
    <col min="9731" max="9731" width="29.28515625" style="19" customWidth="1"/>
    <col min="9732" max="9732" width="14.28515625" style="19" customWidth="1"/>
    <col min="9733" max="9984" width="9.140625" style="19"/>
    <col min="9985" max="9985" width="10.28515625" style="19" customWidth="1"/>
    <col min="9986" max="9986" width="11.85546875" style="19" customWidth="1"/>
    <col min="9987" max="9987" width="29.28515625" style="19" customWidth="1"/>
    <col min="9988" max="9988" width="14.28515625" style="19" customWidth="1"/>
    <col min="9989" max="10240" width="9.140625" style="19"/>
    <col min="10241" max="10241" width="10.28515625" style="19" customWidth="1"/>
    <col min="10242" max="10242" width="11.85546875" style="19" customWidth="1"/>
    <col min="10243" max="10243" width="29.28515625" style="19" customWidth="1"/>
    <col min="10244" max="10244" width="14.28515625" style="19" customWidth="1"/>
    <col min="10245" max="10496" width="9.140625" style="19"/>
    <col min="10497" max="10497" width="10.28515625" style="19" customWidth="1"/>
    <col min="10498" max="10498" width="11.85546875" style="19" customWidth="1"/>
    <col min="10499" max="10499" width="29.28515625" style="19" customWidth="1"/>
    <col min="10500" max="10500" width="14.28515625" style="19" customWidth="1"/>
    <col min="10501" max="10752" width="9.140625" style="19"/>
    <col min="10753" max="10753" width="10.28515625" style="19" customWidth="1"/>
    <col min="10754" max="10754" width="11.85546875" style="19" customWidth="1"/>
    <col min="10755" max="10755" width="29.28515625" style="19" customWidth="1"/>
    <col min="10756" max="10756" width="14.28515625" style="19" customWidth="1"/>
    <col min="10757" max="11008" width="9.140625" style="19"/>
    <col min="11009" max="11009" width="10.28515625" style="19" customWidth="1"/>
    <col min="11010" max="11010" width="11.85546875" style="19" customWidth="1"/>
    <col min="11011" max="11011" width="29.28515625" style="19" customWidth="1"/>
    <col min="11012" max="11012" width="14.28515625" style="19" customWidth="1"/>
    <col min="11013" max="11264" width="9.140625" style="19"/>
    <col min="11265" max="11265" width="10.28515625" style="19" customWidth="1"/>
    <col min="11266" max="11266" width="11.85546875" style="19" customWidth="1"/>
    <col min="11267" max="11267" width="29.28515625" style="19" customWidth="1"/>
    <col min="11268" max="11268" width="14.28515625" style="19" customWidth="1"/>
    <col min="11269" max="11520" width="9.140625" style="19"/>
    <col min="11521" max="11521" width="10.28515625" style="19" customWidth="1"/>
    <col min="11522" max="11522" width="11.85546875" style="19" customWidth="1"/>
    <col min="11523" max="11523" width="29.28515625" style="19" customWidth="1"/>
    <col min="11524" max="11524" width="14.28515625" style="19" customWidth="1"/>
    <col min="11525" max="11776" width="9.140625" style="19"/>
    <col min="11777" max="11777" width="10.28515625" style="19" customWidth="1"/>
    <col min="11778" max="11778" width="11.85546875" style="19" customWidth="1"/>
    <col min="11779" max="11779" width="29.28515625" style="19" customWidth="1"/>
    <col min="11780" max="11780" width="14.28515625" style="19" customWidth="1"/>
    <col min="11781" max="12032" width="9.140625" style="19"/>
    <col min="12033" max="12033" width="10.28515625" style="19" customWidth="1"/>
    <col min="12034" max="12034" width="11.85546875" style="19" customWidth="1"/>
    <col min="12035" max="12035" width="29.28515625" style="19" customWidth="1"/>
    <col min="12036" max="12036" width="14.28515625" style="19" customWidth="1"/>
    <col min="12037" max="12288" width="9.140625" style="19"/>
    <col min="12289" max="12289" width="10.28515625" style="19" customWidth="1"/>
    <col min="12290" max="12290" width="11.85546875" style="19" customWidth="1"/>
    <col min="12291" max="12291" width="29.28515625" style="19" customWidth="1"/>
    <col min="12292" max="12292" width="14.28515625" style="19" customWidth="1"/>
    <col min="12293" max="12544" width="9.140625" style="19"/>
    <col min="12545" max="12545" width="10.28515625" style="19" customWidth="1"/>
    <col min="12546" max="12546" width="11.85546875" style="19" customWidth="1"/>
    <col min="12547" max="12547" width="29.28515625" style="19" customWidth="1"/>
    <col min="12548" max="12548" width="14.28515625" style="19" customWidth="1"/>
    <col min="12549" max="12800" width="9.140625" style="19"/>
    <col min="12801" max="12801" width="10.28515625" style="19" customWidth="1"/>
    <col min="12802" max="12802" width="11.85546875" style="19" customWidth="1"/>
    <col min="12803" max="12803" width="29.28515625" style="19" customWidth="1"/>
    <col min="12804" max="12804" width="14.28515625" style="19" customWidth="1"/>
    <col min="12805" max="13056" width="9.140625" style="19"/>
    <col min="13057" max="13057" width="10.28515625" style="19" customWidth="1"/>
    <col min="13058" max="13058" width="11.85546875" style="19" customWidth="1"/>
    <col min="13059" max="13059" width="29.28515625" style="19" customWidth="1"/>
    <col min="13060" max="13060" width="14.28515625" style="19" customWidth="1"/>
    <col min="13061" max="13312" width="9.140625" style="19"/>
    <col min="13313" max="13313" width="10.28515625" style="19" customWidth="1"/>
    <col min="13314" max="13314" width="11.85546875" style="19" customWidth="1"/>
    <col min="13315" max="13315" width="29.28515625" style="19" customWidth="1"/>
    <col min="13316" max="13316" width="14.28515625" style="19" customWidth="1"/>
    <col min="13317" max="13568" width="9.140625" style="19"/>
    <col min="13569" max="13569" width="10.28515625" style="19" customWidth="1"/>
    <col min="13570" max="13570" width="11.85546875" style="19" customWidth="1"/>
    <col min="13571" max="13571" width="29.28515625" style="19" customWidth="1"/>
    <col min="13572" max="13572" width="14.28515625" style="19" customWidth="1"/>
    <col min="13573" max="13824" width="9.140625" style="19"/>
    <col min="13825" max="13825" width="10.28515625" style="19" customWidth="1"/>
    <col min="13826" max="13826" width="11.85546875" style="19" customWidth="1"/>
    <col min="13827" max="13827" width="29.28515625" style="19" customWidth="1"/>
    <col min="13828" max="13828" width="14.28515625" style="19" customWidth="1"/>
    <col min="13829" max="14080" width="9.140625" style="19"/>
    <col min="14081" max="14081" width="10.28515625" style="19" customWidth="1"/>
    <col min="14082" max="14082" width="11.85546875" style="19" customWidth="1"/>
    <col min="14083" max="14083" width="29.28515625" style="19" customWidth="1"/>
    <col min="14084" max="14084" width="14.28515625" style="19" customWidth="1"/>
    <col min="14085" max="14336" width="9.140625" style="19"/>
    <col min="14337" max="14337" width="10.28515625" style="19" customWidth="1"/>
    <col min="14338" max="14338" width="11.85546875" style="19" customWidth="1"/>
    <col min="14339" max="14339" width="29.28515625" style="19" customWidth="1"/>
    <col min="14340" max="14340" width="14.28515625" style="19" customWidth="1"/>
    <col min="14341" max="14592" width="9.140625" style="19"/>
    <col min="14593" max="14593" width="10.28515625" style="19" customWidth="1"/>
    <col min="14594" max="14594" width="11.85546875" style="19" customWidth="1"/>
    <col min="14595" max="14595" width="29.28515625" style="19" customWidth="1"/>
    <col min="14596" max="14596" width="14.28515625" style="19" customWidth="1"/>
    <col min="14597" max="14848" width="9.140625" style="19"/>
    <col min="14849" max="14849" width="10.28515625" style="19" customWidth="1"/>
    <col min="14850" max="14850" width="11.85546875" style="19" customWidth="1"/>
    <col min="14851" max="14851" width="29.28515625" style="19" customWidth="1"/>
    <col min="14852" max="14852" width="14.28515625" style="19" customWidth="1"/>
    <col min="14853" max="15104" width="9.140625" style="19"/>
    <col min="15105" max="15105" width="10.28515625" style="19" customWidth="1"/>
    <col min="15106" max="15106" width="11.85546875" style="19" customWidth="1"/>
    <col min="15107" max="15107" width="29.28515625" style="19" customWidth="1"/>
    <col min="15108" max="15108" width="14.28515625" style="19" customWidth="1"/>
    <col min="15109" max="15360" width="9.140625" style="19"/>
    <col min="15361" max="15361" width="10.28515625" style="19" customWidth="1"/>
    <col min="15362" max="15362" width="11.85546875" style="19" customWidth="1"/>
    <col min="15363" max="15363" width="29.28515625" style="19" customWidth="1"/>
    <col min="15364" max="15364" width="14.28515625" style="19" customWidth="1"/>
    <col min="15365" max="15616" width="9.140625" style="19"/>
    <col min="15617" max="15617" width="10.28515625" style="19" customWidth="1"/>
    <col min="15618" max="15618" width="11.85546875" style="19" customWidth="1"/>
    <col min="15619" max="15619" width="29.28515625" style="19" customWidth="1"/>
    <col min="15620" max="15620" width="14.28515625" style="19" customWidth="1"/>
    <col min="15621" max="15872" width="9.140625" style="19"/>
    <col min="15873" max="15873" width="10.28515625" style="19" customWidth="1"/>
    <col min="15874" max="15874" width="11.85546875" style="19" customWidth="1"/>
    <col min="15875" max="15875" width="29.28515625" style="19" customWidth="1"/>
    <col min="15876" max="15876" width="14.28515625" style="19" customWidth="1"/>
    <col min="15877" max="16128" width="9.140625" style="19"/>
    <col min="16129" max="16129" width="10.28515625" style="19" customWidth="1"/>
    <col min="16130" max="16130" width="11.85546875" style="19" customWidth="1"/>
    <col min="16131" max="16131" width="29.28515625" style="19" customWidth="1"/>
    <col min="16132" max="16132" width="14.28515625" style="19" customWidth="1"/>
    <col min="16133" max="16384" width="9.140625" style="19"/>
  </cols>
  <sheetData>
    <row r="3" spans="1:4" ht="33.75" customHeight="1">
      <c r="A3" s="15" t="s">
        <v>0</v>
      </c>
      <c r="B3" s="16" t="s">
        <v>1</v>
      </c>
      <c r="C3" s="17" t="s">
        <v>31</v>
      </c>
      <c r="D3" s="18" t="s">
        <v>32</v>
      </c>
    </row>
    <row r="4" spans="1:4" ht="15.75">
      <c r="A4" s="20"/>
      <c r="B4" s="24" t="s">
        <v>33</v>
      </c>
      <c r="C4" s="25" t="s">
        <v>34</v>
      </c>
      <c r="D4" s="21"/>
    </row>
    <row r="5" spans="1:4" ht="15.75">
      <c r="A5" s="20"/>
      <c r="B5" s="24" t="s">
        <v>35</v>
      </c>
      <c r="C5" s="25" t="s">
        <v>36</v>
      </c>
      <c r="D5" s="21"/>
    </row>
    <row r="6" spans="1:4" ht="15.75">
      <c r="A6" s="20"/>
      <c r="B6" s="24" t="s">
        <v>37</v>
      </c>
      <c r="C6" s="26" t="s">
        <v>38</v>
      </c>
      <c r="D6" s="21"/>
    </row>
    <row r="7" spans="1:4" ht="15.75">
      <c r="A7" s="20"/>
      <c r="B7" s="24" t="s">
        <v>39</v>
      </c>
      <c r="C7" s="25" t="s">
        <v>40</v>
      </c>
      <c r="D7" s="21"/>
    </row>
    <row r="8" spans="1:4" ht="15.75">
      <c r="A8" s="20"/>
      <c r="B8" s="27" t="s">
        <v>41</v>
      </c>
      <c r="C8" s="26" t="s">
        <v>42</v>
      </c>
      <c r="D8" s="21"/>
    </row>
    <row r="9" spans="1:4" ht="15.75">
      <c r="A9" s="20"/>
      <c r="B9" s="24" t="s">
        <v>43</v>
      </c>
      <c r="C9" s="25" t="s">
        <v>44</v>
      </c>
      <c r="D9" s="21"/>
    </row>
    <row r="10" spans="1:4" ht="15.75">
      <c r="A10" s="20"/>
      <c r="B10" s="24" t="s">
        <v>45</v>
      </c>
      <c r="C10" s="25" t="s">
        <v>46</v>
      </c>
      <c r="D10" s="21"/>
    </row>
    <row r="11" spans="1:4" ht="15.75">
      <c r="A11" s="20"/>
      <c r="B11" s="28" t="s">
        <v>47</v>
      </c>
      <c r="C11" s="25" t="s">
        <v>48</v>
      </c>
      <c r="D11" s="21"/>
    </row>
    <row r="12" spans="1:4" ht="15.75">
      <c r="A12" s="20"/>
      <c r="B12" s="29" t="s">
        <v>49</v>
      </c>
      <c r="C12" s="25" t="s">
        <v>50</v>
      </c>
      <c r="D12" s="21"/>
    </row>
    <row r="13" spans="1:4" ht="15.75">
      <c r="A13" s="20"/>
      <c r="B13" s="28" t="s">
        <v>51</v>
      </c>
      <c r="C13" s="25" t="s">
        <v>52</v>
      </c>
      <c r="D13" s="21"/>
    </row>
    <row r="14" spans="1:4" ht="15.75">
      <c r="A14" s="20"/>
      <c r="B14" s="28" t="s">
        <v>53</v>
      </c>
      <c r="C14" s="25" t="s">
        <v>54</v>
      </c>
      <c r="D14" s="21"/>
    </row>
    <row r="15" spans="1:4" ht="15.75">
      <c r="A15" s="20"/>
      <c r="B15" s="28" t="s">
        <v>55</v>
      </c>
      <c r="C15" s="25" t="s">
        <v>56</v>
      </c>
      <c r="D15" s="21"/>
    </row>
    <row r="16" spans="1:4" ht="15.75">
      <c r="A16" s="20"/>
      <c r="B16" s="28" t="s">
        <v>57</v>
      </c>
      <c r="C16" s="25" t="s">
        <v>58</v>
      </c>
      <c r="D16" s="21"/>
    </row>
    <row r="17" spans="1:4" ht="15.75">
      <c r="A17" s="20"/>
      <c r="B17" s="28" t="s">
        <v>59</v>
      </c>
      <c r="C17" s="25" t="s">
        <v>60</v>
      </c>
      <c r="D17" s="21"/>
    </row>
    <row r="18" spans="1:4" ht="15.75">
      <c r="A18" s="20"/>
      <c r="B18" s="28" t="s">
        <v>61</v>
      </c>
      <c r="C18" s="25" t="s">
        <v>62</v>
      </c>
      <c r="D18" s="21"/>
    </row>
    <row r="19" spans="1:4" ht="15.75">
      <c r="A19" s="20"/>
      <c r="B19" s="28" t="s">
        <v>63</v>
      </c>
      <c r="C19" s="25" t="s">
        <v>64</v>
      </c>
      <c r="D19" s="21"/>
    </row>
    <row r="20" spans="1:4" ht="15.75">
      <c r="A20" s="20"/>
      <c r="B20" s="28" t="s">
        <v>65</v>
      </c>
      <c r="C20" s="25" t="s">
        <v>66</v>
      </c>
      <c r="D20" s="21"/>
    </row>
    <row r="21" spans="1:4" ht="15.75">
      <c r="A21" s="20"/>
      <c r="B21" s="28" t="s">
        <v>67</v>
      </c>
      <c r="C21" s="25" t="s">
        <v>68</v>
      </c>
      <c r="D21" s="21"/>
    </row>
    <row r="22" spans="1:4" ht="15.75">
      <c r="A22" s="20"/>
      <c r="B22" s="28" t="s">
        <v>69</v>
      </c>
      <c r="C22" s="25" t="s">
        <v>70</v>
      </c>
      <c r="D22" s="21"/>
    </row>
    <row r="23" spans="1:4" ht="15.75">
      <c r="A23" s="20"/>
      <c r="B23" s="28" t="s">
        <v>71</v>
      </c>
      <c r="C23" s="25" t="s">
        <v>72</v>
      </c>
      <c r="D23" s="21"/>
    </row>
    <row r="24" spans="1:4" ht="15.75">
      <c r="A24" s="20"/>
      <c r="B24" s="28" t="s">
        <v>73</v>
      </c>
      <c r="C24" s="30" t="s">
        <v>74</v>
      </c>
      <c r="D24" s="21"/>
    </row>
    <row r="25" spans="1:4" ht="15.75">
      <c r="A25" s="20"/>
      <c r="B25" s="28" t="s">
        <v>75</v>
      </c>
      <c r="C25" s="25" t="s">
        <v>76</v>
      </c>
      <c r="D25" s="21"/>
    </row>
    <row r="26" spans="1:4" ht="15.75">
      <c r="A26" s="20"/>
      <c r="B26" s="29" t="s">
        <v>77</v>
      </c>
      <c r="C26" s="25" t="s">
        <v>78</v>
      </c>
      <c r="D26" s="21"/>
    </row>
    <row r="27" spans="1:4" ht="15.75">
      <c r="A27" s="20"/>
      <c r="B27" s="29" t="s">
        <v>79</v>
      </c>
      <c r="C27" s="31" t="s">
        <v>80</v>
      </c>
      <c r="D27" s="21"/>
    </row>
    <row r="28" spans="1:4" ht="15.75">
      <c r="A28" s="20"/>
      <c r="B28" s="29" t="s">
        <v>81</v>
      </c>
      <c r="C28" s="31" t="s">
        <v>82</v>
      </c>
      <c r="D28" s="21"/>
    </row>
    <row r="29" spans="1:4" ht="15.75">
      <c r="A29" s="20"/>
      <c r="B29" s="29" t="s">
        <v>83</v>
      </c>
      <c r="C29" s="31" t="s">
        <v>84</v>
      </c>
      <c r="D29" s="21"/>
    </row>
    <row r="30" spans="1:4" ht="15.75">
      <c r="A30" s="20"/>
      <c r="B30" s="29" t="s">
        <v>85</v>
      </c>
      <c r="C30" s="31" t="s">
        <v>86</v>
      </c>
      <c r="D30" s="21"/>
    </row>
    <row r="31" spans="1:4" ht="15.75">
      <c r="A31" s="20"/>
      <c r="B31" s="29" t="s">
        <v>87</v>
      </c>
      <c r="C31" s="31" t="s">
        <v>88</v>
      </c>
      <c r="D31" s="21"/>
    </row>
    <row r="32" spans="1:4" ht="15.75">
      <c r="A32" s="20"/>
      <c r="B32" s="32" t="s">
        <v>89</v>
      </c>
      <c r="C32" s="33" t="s">
        <v>90</v>
      </c>
      <c r="D32" s="21"/>
    </row>
    <row r="33" spans="1:4" ht="15.75">
      <c r="A33" s="20"/>
      <c r="B33" s="24" t="s">
        <v>91</v>
      </c>
      <c r="C33" s="25" t="s">
        <v>92</v>
      </c>
      <c r="D33" s="21"/>
    </row>
    <row r="34" spans="1:4" ht="15.75">
      <c r="A34" s="20"/>
      <c r="B34" s="28" t="s">
        <v>93</v>
      </c>
      <c r="C34" s="25" t="s">
        <v>94</v>
      </c>
      <c r="D34" s="21"/>
    </row>
    <row r="35" spans="1:4" ht="15.75">
      <c r="A35" s="20"/>
      <c r="B35" s="28" t="s">
        <v>95</v>
      </c>
      <c r="C35" s="25" t="s">
        <v>96</v>
      </c>
      <c r="D35" s="21"/>
    </row>
    <row r="36" spans="1:4" ht="15">
      <c r="B36" s="28" t="s">
        <v>97</v>
      </c>
      <c r="C36" s="25" t="s">
        <v>98</v>
      </c>
    </row>
    <row r="37" spans="1:4" ht="15">
      <c r="B37" s="28" t="s">
        <v>99</v>
      </c>
      <c r="C37" s="25" t="s">
        <v>100</v>
      </c>
    </row>
    <row r="38" spans="1:4" ht="15">
      <c r="B38" s="28" t="s">
        <v>101</v>
      </c>
      <c r="C38" s="25" t="s">
        <v>102</v>
      </c>
    </row>
    <row r="39" spans="1:4" ht="15">
      <c r="B39" s="28" t="s">
        <v>103</v>
      </c>
      <c r="C39" s="25" t="s">
        <v>104</v>
      </c>
    </row>
    <row r="40" spans="1:4" ht="15">
      <c r="B40" s="29" t="s">
        <v>105</v>
      </c>
      <c r="C40" s="25" t="s">
        <v>106</v>
      </c>
    </row>
    <row r="41" spans="1:4" ht="15">
      <c r="B41" s="29" t="s">
        <v>107</v>
      </c>
      <c r="C41" s="25" t="s">
        <v>108</v>
      </c>
    </row>
    <row r="42" spans="1:4" ht="15">
      <c r="B42" s="29" t="s">
        <v>109</v>
      </c>
      <c r="C42" s="25" t="s">
        <v>110</v>
      </c>
    </row>
    <row r="43" spans="1:4" ht="15">
      <c r="B43" s="29" t="s">
        <v>111</v>
      </c>
      <c r="C43" s="25" t="s">
        <v>112</v>
      </c>
    </row>
    <row r="44" spans="1:4" ht="15">
      <c r="B44" s="28" t="s">
        <v>113</v>
      </c>
      <c r="C44" s="25" t="s">
        <v>114</v>
      </c>
    </row>
    <row r="45" spans="1:4" ht="15">
      <c r="B45" s="28" t="s">
        <v>115</v>
      </c>
      <c r="C45" s="25" t="s">
        <v>116</v>
      </c>
    </row>
    <row r="46" spans="1:4" ht="15">
      <c r="B46" s="32" t="s">
        <v>117</v>
      </c>
      <c r="C46" s="34" t="s">
        <v>118</v>
      </c>
    </row>
    <row r="47" spans="1:4" ht="15">
      <c r="B47" s="29" t="s">
        <v>119</v>
      </c>
      <c r="C47" s="25" t="s">
        <v>120</v>
      </c>
    </row>
    <row r="48" spans="1:4" ht="15">
      <c r="B48" s="28" t="s">
        <v>121</v>
      </c>
      <c r="C48" s="35" t="s">
        <v>122</v>
      </c>
    </row>
    <row r="49" spans="2:3" ht="15">
      <c r="B49" s="28" t="s">
        <v>123</v>
      </c>
      <c r="C49" s="25" t="s">
        <v>124</v>
      </c>
    </row>
    <row r="50" spans="2:3" ht="15">
      <c r="B50" s="28" t="s">
        <v>125</v>
      </c>
      <c r="C50" s="25" t="s">
        <v>126</v>
      </c>
    </row>
    <row r="51" spans="2:3" ht="15">
      <c r="B51" s="28" t="s">
        <v>127</v>
      </c>
      <c r="C51" s="25" t="s">
        <v>128</v>
      </c>
    </row>
    <row r="52" spans="2:3" ht="15">
      <c r="B52" s="36" t="s">
        <v>129</v>
      </c>
      <c r="C52" s="25" t="s">
        <v>130</v>
      </c>
    </row>
    <row r="53" spans="2:3" ht="15">
      <c r="B53" s="36" t="s">
        <v>131</v>
      </c>
      <c r="C53" s="25" t="s">
        <v>132</v>
      </c>
    </row>
    <row r="54" spans="2:3" ht="15">
      <c r="B54" s="36" t="s">
        <v>133</v>
      </c>
      <c r="C54" s="25" t="s">
        <v>134</v>
      </c>
    </row>
    <row r="55" spans="2:3" ht="15">
      <c r="B55" s="36" t="s">
        <v>135</v>
      </c>
      <c r="C55" s="25" t="s">
        <v>136</v>
      </c>
    </row>
    <row r="56" spans="2:3" ht="15">
      <c r="B56" s="28" t="s">
        <v>137</v>
      </c>
      <c r="C56" s="25" t="s">
        <v>138</v>
      </c>
    </row>
    <row r="57" spans="2:3" ht="15">
      <c r="B57" s="29" t="s">
        <v>139</v>
      </c>
      <c r="C57" s="25" t="s">
        <v>140</v>
      </c>
    </row>
    <row r="58" spans="2:3" ht="15">
      <c r="B58" s="32" t="s">
        <v>141</v>
      </c>
      <c r="C58" s="34" t="s">
        <v>130</v>
      </c>
    </row>
    <row r="59" spans="2:3" ht="15">
      <c r="B59" s="24" t="s">
        <v>142</v>
      </c>
      <c r="C59" s="25" t="s">
        <v>143</v>
      </c>
    </row>
    <row r="60" spans="2:3" ht="15">
      <c r="B60" s="28" t="s">
        <v>144</v>
      </c>
      <c r="C60" s="25" t="s">
        <v>145</v>
      </c>
    </row>
    <row r="61" spans="2:3" ht="15">
      <c r="B61" s="29" t="s">
        <v>146</v>
      </c>
      <c r="C61" s="31" t="s">
        <v>147</v>
      </c>
    </row>
    <row r="62" spans="2:3" ht="15">
      <c r="B62" s="29" t="s">
        <v>148</v>
      </c>
      <c r="C62" s="25" t="s">
        <v>149</v>
      </c>
    </row>
    <row r="63" spans="2:3" ht="15">
      <c r="B63" s="28" t="s">
        <v>150</v>
      </c>
      <c r="C63" s="25" t="s">
        <v>151</v>
      </c>
    </row>
    <row r="64" spans="2:3" ht="15">
      <c r="B64" s="28" t="s">
        <v>152</v>
      </c>
      <c r="C64" s="25" t="s">
        <v>153</v>
      </c>
    </row>
    <row r="65" spans="2:3" ht="15">
      <c r="B65" s="29" t="s">
        <v>154</v>
      </c>
      <c r="C65" s="25" t="s">
        <v>155</v>
      </c>
    </row>
    <row r="66" spans="2:3" ht="15">
      <c r="B66" s="24" t="s">
        <v>156</v>
      </c>
      <c r="C66" s="25" t="s">
        <v>157</v>
      </c>
    </row>
    <row r="67" spans="2:3" ht="15">
      <c r="B67" s="28" t="s">
        <v>158</v>
      </c>
      <c r="C67" s="25" t="s">
        <v>159</v>
      </c>
    </row>
    <row r="68" spans="2:3" ht="15">
      <c r="B68" s="28" t="s">
        <v>160</v>
      </c>
      <c r="C68" s="25" t="s">
        <v>161</v>
      </c>
    </row>
    <row r="69" spans="2:3" ht="15">
      <c r="B69" s="28" t="s">
        <v>162</v>
      </c>
      <c r="C69" s="25" t="s">
        <v>163</v>
      </c>
    </row>
    <row r="70" spans="2:3" ht="15">
      <c r="B70" s="28" t="s">
        <v>164</v>
      </c>
      <c r="C70" s="25" t="s">
        <v>165</v>
      </c>
    </row>
    <row r="71" spans="2:3" ht="15">
      <c r="B71" s="29" t="s">
        <v>166</v>
      </c>
      <c r="C71" s="25" t="s">
        <v>167</v>
      </c>
    </row>
    <row r="72" spans="2:3" ht="15">
      <c r="B72" s="28" t="s">
        <v>168</v>
      </c>
      <c r="C72" s="25" t="s">
        <v>169</v>
      </c>
    </row>
    <row r="73" spans="2:3" ht="15">
      <c r="B73" s="29" t="s">
        <v>170</v>
      </c>
      <c r="C73" s="25" t="s">
        <v>171</v>
      </c>
    </row>
    <row r="74" spans="2:3" ht="15">
      <c r="B74" s="24" t="s">
        <v>172</v>
      </c>
      <c r="C74" s="25" t="s">
        <v>173</v>
      </c>
    </row>
    <row r="75" spans="2:3" ht="15">
      <c r="B75" s="28" t="s">
        <v>174</v>
      </c>
      <c r="C75" s="25" t="s">
        <v>175</v>
      </c>
    </row>
    <row r="76" spans="2:3" ht="15">
      <c r="B76" s="28" t="s">
        <v>176</v>
      </c>
      <c r="C76" s="25" t="s">
        <v>177</v>
      </c>
    </row>
    <row r="77" spans="2:3" ht="15">
      <c r="B77" s="28" t="s">
        <v>178</v>
      </c>
      <c r="C77" s="25" t="s">
        <v>179</v>
      </c>
    </row>
    <row r="78" spans="2:3" ht="15">
      <c r="B78" s="28" t="s">
        <v>180</v>
      </c>
      <c r="C78" s="25" t="s">
        <v>181</v>
      </c>
    </row>
    <row r="79" spans="2:3" ht="15">
      <c r="B79" s="28" t="s">
        <v>182</v>
      </c>
      <c r="C79" s="25" t="s">
        <v>183</v>
      </c>
    </row>
    <row r="80" spans="2:3" ht="15">
      <c r="B80" s="28" t="s">
        <v>184</v>
      </c>
      <c r="C80" s="30" t="s">
        <v>185</v>
      </c>
    </row>
    <row r="81" spans="2:3" ht="15">
      <c r="B81" s="28" t="s">
        <v>186</v>
      </c>
      <c r="C81" s="30" t="s">
        <v>187</v>
      </c>
    </row>
    <row r="82" spans="2:3" ht="15">
      <c r="B82" s="28" t="s">
        <v>188</v>
      </c>
      <c r="C82" s="30" t="s">
        <v>189</v>
      </c>
    </row>
    <row r="83" spans="2:3" ht="15">
      <c r="B83" s="28" t="s">
        <v>190</v>
      </c>
      <c r="C83" s="30" t="s">
        <v>191</v>
      </c>
    </row>
    <row r="84" spans="2:3" ht="15">
      <c r="B84" s="28" t="s">
        <v>192</v>
      </c>
      <c r="C84" s="30" t="s">
        <v>193</v>
      </c>
    </row>
    <row r="85" spans="2:3" ht="15">
      <c r="B85" s="28" t="s">
        <v>194</v>
      </c>
      <c r="C85" s="30" t="s">
        <v>195</v>
      </c>
    </row>
    <row r="86" spans="2:3" ht="15">
      <c r="B86" s="28" t="s">
        <v>196</v>
      </c>
      <c r="C86" s="25" t="s">
        <v>197</v>
      </c>
    </row>
    <row r="87" spans="2:3" ht="15">
      <c r="B87" s="29" t="s">
        <v>198</v>
      </c>
      <c r="C87" s="25" t="s">
        <v>199</v>
      </c>
    </row>
    <row r="88" spans="2:3" ht="15">
      <c r="B88" s="29" t="s">
        <v>200</v>
      </c>
      <c r="C88" s="25" t="s">
        <v>201</v>
      </c>
    </row>
    <row r="89" spans="2:3" ht="15">
      <c r="B89" s="29" t="s">
        <v>202</v>
      </c>
      <c r="C89" s="25" t="s">
        <v>203</v>
      </c>
    </row>
    <row r="90" spans="2:3" ht="15">
      <c r="B90" s="32" t="s">
        <v>204</v>
      </c>
      <c r="C90" s="34" t="s">
        <v>205</v>
      </c>
    </row>
    <row r="91" spans="2:3" ht="15">
      <c r="B91" s="28" t="s">
        <v>206</v>
      </c>
      <c r="C91" s="25" t="s">
        <v>207</v>
      </c>
    </row>
    <row r="92" spans="2:3" ht="15">
      <c r="B92" s="28" t="s">
        <v>208</v>
      </c>
      <c r="C92" s="25" t="s">
        <v>209</v>
      </c>
    </row>
    <row r="93" spans="2:3" ht="15">
      <c r="B93" s="28" t="s">
        <v>210</v>
      </c>
      <c r="C93" s="25" t="s">
        <v>211</v>
      </c>
    </row>
    <row r="94" spans="2:3" ht="15">
      <c r="B94" s="28" t="s">
        <v>212</v>
      </c>
      <c r="C94" s="25" t="s">
        <v>213</v>
      </c>
    </row>
    <row r="95" spans="2:3" ht="15">
      <c r="B95" s="28" t="s">
        <v>214</v>
      </c>
      <c r="C95" s="35" t="s">
        <v>215</v>
      </c>
    </row>
    <row r="96" spans="2:3" ht="15">
      <c r="B96" s="28" t="s">
        <v>216</v>
      </c>
      <c r="C96" s="25" t="s">
        <v>217</v>
      </c>
    </row>
    <row r="97" spans="2:3" ht="15">
      <c r="B97" s="28" t="s">
        <v>218</v>
      </c>
      <c r="C97" s="25" t="s">
        <v>219</v>
      </c>
    </row>
    <row r="98" spans="2:3" ht="15">
      <c r="B98" s="28" t="s">
        <v>220</v>
      </c>
      <c r="C98" s="25" t="s">
        <v>221</v>
      </c>
    </row>
    <row r="99" spans="2:3" ht="15">
      <c r="B99" s="28" t="s">
        <v>222</v>
      </c>
      <c r="C99" s="25" t="s">
        <v>223</v>
      </c>
    </row>
    <row r="100" spans="2:3" ht="15">
      <c r="B100" s="28" t="s">
        <v>224</v>
      </c>
      <c r="C100" s="25" t="s">
        <v>225</v>
      </c>
    </row>
    <row r="101" spans="2:3" ht="15">
      <c r="B101" s="28" t="s">
        <v>226</v>
      </c>
      <c r="C101" s="25" t="s">
        <v>227</v>
      </c>
    </row>
    <row r="102" spans="2:3" ht="15">
      <c r="B102" s="28" t="s">
        <v>228</v>
      </c>
      <c r="C102" s="25" t="s">
        <v>229</v>
      </c>
    </row>
    <row r="103" spans="2:3" ht="15">
      <c r="B103" s="29" t="s">
        <v>230</v>
      </c>
      <c r="C103" s="25" t="s">
        <v>231</v>
      </c>
    </row>
    <row r="104" spans="2:3" ht="15">
      <c r="B104" s="29" t="s">
        <v>232</v>
      </c>
      <c r="C104" s="25" t="s">
        <v>233</v>
      </c>
    </row>
    <row r="105" spans="2:3" ht="15">
      <c r="B105" s="32" t="s">
        <v>234</v>
      </c>
      <c r="C105" s="34" t="s">
        <v>235</v>
      </c>
    </row>
    <row r="106" spans="2:3" ht="15">
      <c r="B106" s="32" t="s">
        <v>236</v>
      </c>
      <c r="C106" s="34" t="s">
        <v>237</v>
      </c>
    </row>
    <row r="107" spans="2:3" ht="15">
      <c r="B107" s="28" t="s">
        <v>238</v>
      </c>
      <c r="C107" s="25" t="s">
        <v>239</v>
      </c>
    </row>
    <row r="108" spans="2:3" ht="15">
      <c r="B108" s="28" t="s">
        <v>240</v>
      </c>
      <c r="C108" s="25" t="s">
        <v>241</v>
      </c>
    </row>
    <row r="109" spans="2:3" ht="15">
      <c r="B109" s="28" t="s">
        <v>242</v>
      </c>
      <c r="C109" s="25" t="s">
        <v>243</v>
      </c>
    </row>
    <row r="110" spans="2:3" ht="15">
      <c r="B110" s="28" t="s">
        <v>244</v>
      </c>
      <c r="C110" s="25" t="s">
        <v>245</v>
      </c>
    </row>
    <row r="111" spans="2:3" ht="15">
      <c r="B111" s="28" t="s">
        <v>246</v>
      </c>
      <c r="C111" s="25" t="s">
        <v>247</v>
      </c>
    </row>
    <row r="112" spans="2:3" ht="15">
      <c r="B112" s="28" t="s">
        <v>248</v>
      </c>
      <c r="C112" s="25" t="s">
        <v>249</v>
      </c>
    </row>
    <row r="113" spans="2:3" ht="15">
      <c r="B113" s="28" t="s">
        <v>250</v>
      </c>
      <c r="C113" s="25" t="s">
        <v>251</v>
      </c>
    </row>
    <row r="114" spans="2:3" ht="15">
      <c r="B114" s="28" t="s">
        <v>252</v>
      </c>
      <c r="C114" s="25" t="s">
        <v>253</v>
      </c>
    </row>
    <row r="115" spans="2:3" ht="15">
      <c r="B115" s="37" t="s">
        <v>254</v>
      </c>
      <c r="C115" s="38" t="s">
        <v>255</v>
      </c>
    </row>
    <row r="116" spans="2:3" ht="15">
      <c r="B116" s="32" t="s">
        <v>256</v>
      </c>
      <c r="C116" s="34" t="s">
        <v>257</v>
      </c>
    </row>
    <row r="117" spans="2:3">
      <c r="B117" s="72" t="s">
        <v>259</v>
      </c>
      <c r="C117" s="70" t="s">
        <v>258</v>
      </c>
    </row>
    <row r="118" spans="2:3" ht="15">
      <c r="B118" s="74" t="s">
        <v>262</v>
      </c>
      <c r="C118" s="73" t="s">
        <v>260</v>
      </c>
    </row>
    <row r="119" spans="2:3" ht="17.25" customHeight="1">
      <c r="B119" s="75" t="s">
        <v>263</v>
      </c>
      <c r="C119" s="76" t="s">
        <v>261</v>
      </c>
    </row>
    <row r="120" spans="2:3" ht="17.25" customHeight="1">
      <c r="B120" s="75" t="s">
        <v>269</v>
      </c>
      <c r="C120" s="76" t="s">
        <v>264</v>
      </c>
    </row>
    <row r="121" spans="2:3" ht="17.25" customHeight="1">
      <c r="B121" s="75" t="s">
        <v>270</v>
      </c>
      <c r="C121" s="76" t="s">
        <v>265</v>
      </c>
    </row>
    <row r="122" spans="2:3" ht="17.25" customHeight="1">
      <c r="B122" s="75" t="s">
        <v>271</v>
      </c>
      <c r="C122" s="76" t="s">
        <v>266</v>
      </c>
    </row>
    <row r="123" spans="2:3" ht="17.25" customHeight="1">
      <c r="B123" s="75" t="s">
        <v>272</v>
      </c>
      <c r="C123" s="76" t="s">
        <v>267</v>
      </c>
    </row>
    <row r="124" spans="2:3" ht="17.25" customHeight="1">
      <c r="B124" s="75" t="s">
        <v>273</v>
      </c>
      <c r="C124" s="76" t="s">
        <v>268</v>
      </c>
    </row>
  </sheetData>
  <conditionalFormatting sqref="B4">
    <cfRule type="duplicateValues" dxfId="13" priority="9"/>
  </conditionalFormatting>
  <conditionalFormatting sqref="B5:B7">
    <cfRule type="duplicateValues" dxfId="12" priority="11"/>
  </conditionalFormatting>
  <conditionalFormatting sqref="B10">
    <cfRule type="duplicateValues" dxfId="11" priority="10"/>
  </conditionalFormatting>
  <conditionalFormatting sqref="B28:B32">
    <cfRule type="duplicateValues" dxfId="10" priority="5"/>
  </conditionalFormatting>
  <conditionalFormatting sqref="B33">
    <cfRule type="duplicateValues" dxfId="9" priority="8"/>
  </conditionalFormatting>
  <conditionalFormatting sqref="B47 B103:B106">
    <cfRule type="duplicateValues" dxfId="8" priority="12"/>
  </conditionalFormatting>
  <conditionalFormatting sqref="B56:B58 B34:B46 B67:B73 B11:B27 B60:B65 B75:B102 B107:B114 B48:B51">
    <cfRule type="duplicateValues" dxfId="7" priority="14"/>
  </conditionalFormatting>
  <conditionalFormatting sqref="B59 B9">
    <cfRule type="duplicateValues" dxfId="6" priority="13"/>
  </conditionalFormatting>
  <conditionalFormatting sqref="B66">
    <cfRule type="duplicateValues" dxfId="5" priority="7"/>
  </conditionalFormatting>
  <conditionalFormatting sqref="B74">
    <cfRule type="duplicateValues" dxfId="4" priority="6"/>
  </conditionalFormatting>
  <conditionalFormatting sqref="B115">
    <cfRule type="duplicateValues" dxfId="3" priority="2"/>
  </conditionalFormatting>
  <conditionalFormatting sqref="B116">
    <cfRule type="duplicateValues" dxfId="2" priority="1"/>
  </conditionalFormatting>
  <conditionalFormatting sqref="C115">
    <cfRule type="duplicateValues" dxfId="1" priority="4"/>
  </conditionalFormatting>
  <conditionalFormatting sqref="C116">
    <cfRule type="duplicateValues" dxfId="0" priority="3"/>
  </conditionalFormatting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Bảng OT nhập liệu</vt:lpstr>
      <vt:lpstr>Danh sách CBCNV</vt:lpstr>
      <vt:lpstr>'Bảng OT nhập liệu'!Print_Area</vt:lpstr>
      <vt:lpstr>'Bảng OT nhập liệu'!Print_Titles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tuan</cp:lastModifiedBy>
  <cp:lastPrinted>2026-08-01T04:37:00Z</cp:lastPrinted>
  <dcterms:created xsi:type="dcterms:W3CDTF">2025-05-19T01:42:04Z</dcterms:created>
  <dcterms:modified xsi:type="dcterms:W3CDTF">2026-10-02T03:57:22Z</dcterms:modified>
</cp:coreProperties>
</file>